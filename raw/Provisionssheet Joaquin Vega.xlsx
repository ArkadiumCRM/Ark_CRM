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vgc21ch-my.sharepoint.com/personal/stefano_papes_arkadium_ch/Documents/Desktop/Provisionsverträge 2026/Provisionssheets/"/>
    </mc:Choice>
  </mc:AlternateContent>
  <xr:revisionPtr revIDLastSave="63" documentId="8_{C8DF1D5B-B5E8-4AD8-8432-005A4A7FA021}" xr6:coauthVersionLast="47" xr6:coauthVersionMax="47" xr10:uidLastSave="{F8990BBD-8C87-4FDC-8E67-ACA9E4E38543}"/>
  <bookViews>
    <workbookView xWindow="33720" yWindow="2475" windowWidth="29040" windowHeight="15720" xr2:uid="{00000000-000D-0000-FFFF-FFFF00000000}"/>
  </bookViews>
  <sheets>
    <sheet name="Provisionsberechnung" sheetId="4" r:id="rId1"/>
    <sheet name="Provisionsstaffel" sheetId="3" r:id="rId2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7" i="4" l="1"/>
  <c r="H33" i="4"/>
  <c r="H34" i="4"/>
  <c r="H35" i="4"/>
  <c r="H36" i="4"/>
  <c r="H37" i="4"/>
  <c r="H38" i="4"/>
  <c r="H39" i="4"/>
  <c r="H40" i="4"/>
  <c r="H41" i="4"/>
  <c r="H42" i="4"/>
  <c r="H45" i="4"/>
  <c r="H46" i="4"/>
  <c r="H47" i="4"/>
  <c r="H48" i="4"/>
  <c r="H49" i="4"/>
  <c r="H50" i="4"/>
  <c r="H51" i="4"/>
  <c r="H52" i="4"/>
  <c r="H53" i="4"/>
  <c r="H54" i="4"/>
  <c r="I48" i="4" l="1"/>
  <c r="I36" i="4"/>
  <c r="G12" i="3" s="1"/>
  <c r="H24" i="4"/>
  <c r="H23" i="4"/>
  <c r="I3" i="3"/>
  <c r="I12" i="3" s="1"/>
  <c r="H14" i="4"/>
  <c r="I7" i="3"/>
  <c r="H15" i="4"/>
  <c r="H16" i="4"/>
  <c r="H8" i="4"/>
  <c r="H9" i="4"/>
  <c r="H10" i="4"/>
  <c r="H11" i="4"/>
  <c r="H12" i="4"/>
  <c r="H13" i="4"/>
  <c r="H18" i="4"/>
  <c r="I2" i="4"/>
  <c r="Y16" i="4"/>
  <c r="Y29" i="4" s="1"/>
  <c r="Y41" i="4" s="1"/>
  <c r="Y53" i="4" s="1"/>
  <c r="H21" i="4"/>
  <c r="H22" i="4"/>
  <c r="H25" i="4"/>
  <c r="H26" i="4"/>
  <c r="H27" i="4"/>
  <c r="H28" i="4"/>
  <c r="H29" i="4"/>
  <c r="S10" i="3"/>
  <c r="S11" i="3"/>
  <c r="S12" i="3"/>
  <c r="S13" i="3"/>
  <c r="M2" i="4"/>
  <c r="J7" i="3" s="1"/>
  <c r="B3" i="4"/>
  <c r="I24" i="4" l="1"/>
  <c r="K11" i="4"/>
  <c r="K16" i="4" s="1"/>
  <c r="K41" i="4"/>
  <c r="K36" i="4"/>
  <c r="K48" i="4"/>
  <c r="I5" i="3"/>
  <c r="I6" i="3" s="1"/>
  <c r="I10" i="3"/>
  <c r="K24" i="4"/>
  <c r="J3" i="3"/>
  <c r="F12" i="3" s="1"/>
  <c r="M36" i="4" s="1"/>
  <c r="K29" i="4"/>
  <c r="I13" i="3"/>
  <c r="G13" i="3"/>
  <c r="G11" i="3"/>
  <c r="I11" i="4"/>
  <c r="I16" i="4" s="1"/>
  <c r="I11" i="3"/>
  <c r="K53" i="4" l="1"/>
  <c r="F11" i="3"/>
  <c r="E11" i="3" s="1"/>
  <c r="D11" i="3" s="1"/>
  <c r="P24" i="4" s="1"/>
  <c r="G10" i="3"/>
  <c r="J11" i="3" s="1"/>
  <c r="K11" i="3" s="1"/>
  <c r="L11" i="3" s="1"/>
  <c r="M29" i="4" s="1"/>
  <c r="J10" i="3"/>
  <c r="K10" i="3" s="1"/>
  <c r="L10" i="3" s="1"/>
  <c r="F13" i="3"/>
  <c r="E13" i="3" s="1"/>
  <c r="M48" i="4" s="1"/>
  <c r="E12" i="3"/>
  <c r="D12" i="3" s="1"/>
  <c r="I29" i="4"/>
  <c r="I41" i="4" s="1"/>
  <c r="I53" i="4" s="1"/>
  <c r="M24" i="4" l="1"/>
  <c r="J12" i="3"/>
  <c r="K12" i="3" s="1"/>
  <c r="L12" i="3" s="1"/>
  <c r="M41" i="4" s="1"/>
  <c r="D13" i="3"/>
  <c r="P48" i="4" s="1"/>
  <c r="C11" i="3"/>
  <c r="F10" i="3"/>
  <c r="E10" i="3" s="1"/>
  <c r="D10" i="3" s="1"/>
  <c r="C10" i="3" s="1"/>
  <c r="J13" i="3"/>
  <c r="K13" i="3" s="1"/>
  <c r="L13" i="3" s="1"/>
  <c r="M53" i="4" s="1"/>
  <c r="M11" i="4"/>
  <c r="C12" i="3"/>
  <c r="P36" i="4"/>
  <c r="M16" i="4"/>
  <c r="M10" i="3"/>
  <c r="M11" i="3"/>
  <c r="N11" i="3" s="1"/>
  <c r="M12" i="3" l="1"/>
  <c r="P41" i="4" s="1"/>
  <c r="M13" i="3"/>
  <c r="P53" i="4" s="1"/>
  <c r="P29" i="4"/>
  <c r="P16" i="4"/>
  <c r="P11" i="4"/>
  <c r="N10" i="3"/>
  <c r="S29" i="4"/>
  <c r="O11" i="3"/>
  <c r="Q11" i="3" s="1"/>
  <c r="T11" i="3" s="1"/>
  <c r="P11" i="3"/>
  <c r="N12" i="3" l="1"/>
  <c r="S41" i="4" s="1"/>
  <c r="U41" i="4" s="1"/>
  <c r="W35" i="4" s="1"/>
  <c r="N13" i="3"/>
  <c r="S53" i="4" s="1"/>
  <c r="AA53" i="4" s="1"/>
  <c r="P10" i="3"/>
  <c r="S16" i="4"/>
  <c r="O10" i="3"/>
  <c r="U11" i="3"/>
  <c r="W29" i="4"/>
  <c r="U29" i="4"/>
  <c r="AA29" i="4"/>
  <c r="W23" i="4" l="1"/>
  <c r="AA41" i="4"/>
  <c r="W41" i="4"/>
  <c r="P12" i="3"/>
  <c r="O12" i="3"/>
  <c r="Q12" i="3" s="1"/>
  <c r="T12" i="3" s="1"/>
  <c r="W53" i="4"/>
  <c r="AA45" i="4" s="1"/>
  <c r="U53" i="4"/>
  <c r="W47" i="4" s="1"/>
  <c r="O13" i="3"/>
  <c r="Q13" i="3" s="1"/>
  <c r="T13" i="3" s="1"/>
  <c r="P13" i="3"/>
  <c r="W16" i="4"/>
  <c r="U16" i="4"/>
  <c r="AA16" i="4"/>
  <c r="T10" i="3"/>
  <c r="U10" i="3" s="1"/>
  <c r="Q10" i="3"/>
  <c r="AA21" i="4"/>
  <c r="U12" i="3" l="1"/>
  <c r="AA33" i="4"/>
  <c r="U13" i="3"/>
  <c r="W10" i="4"/>
  <c r="AA8" i="4"/>
</calcChain>
</file>

<file path=xl/sharedStrings.xml><?xml version="1.0" encoding="utf-8"?>
<sst xmlns="http://schemas.openxmlformats.org/spreadsheetml/2006/main" count="132" uniqueCount="102">
  <si>
    <t>Mitarbeiter:</t>
  </si>
  <si>
    <t>Heute:</t>
  </si>
  <si>
    <t>Kandidat</t>
  </si>
  <si>
    <t>Kunde</t>
  </si>
  <si>
    <t>Start-Datum Kandidat</t>
  </si>
  <si>
    <t>Net Fee total</t>
  </si>
  <si>
    <t>Zuteilung Punkte</t>
  </si>
  <si>
    <t>Zuteilung Net Fee</t>
  </si>
  <si>
    <t>ZEG</t>
  </si>
  <si>
    <t>Provisionssatz</t>
  </si>
  <si>
    <t>Budget</t>
  </si>
  <si>
    <t>Net Fees</t>
  </si>
  <si>
    <t>Anwendbarer Provisionssatz</t>
  </si>
  <si>
    <t>ZEG gerundet</t>
  </si>
  <si>
    <t>P1</t>
  </si>
  <si>
    <t>P2</t>
  </si>
  <si>
    <t>P3</t>
  </si>
  <si>
    <t>P4</t>
  </si>
  <si>
    <t xml:space="preserve">effektive Net Fees </t>
  </si>
  <si>
    <t>Variabler Zielbetrag 100%</t>
  </si>
  <si>
    <t>Provisorischer Anspruch 100%</t>
  </si>
  <si>
    <t>20% Rücklage</t>
  </si>
  <si>
    <t>80% Abschlagszahlung (Vorschuss)</t>
  </si>
  <si>
    <t>Ausbezahlt</t>
  </si>
  <si>
    <t>Saldo 80% Abschlag</t>
  </si>
  <si>
    <t>Ausbezahlt total</t>
  </si>
  <si>
    <t>Abschlagszahlungen Unterjährig</t>
  </si>
  <si>
    <t>Restanz per Periode</t>
  </si>
  <si>
    <t>Restanz verrechnet INKL. 20% Rücklage</t>
  </si>
  <si>
    <t>vorauss. Garantie-Ende (vorb.PZ-Verlängerung)</t>
  </si>
  <si>
    <t>kummulierter ZEG</t>
  </si>
  <si>
    <t>kummuliertes Budget</t>
  </si>
  <si>
    <t>Jahresbduget</t>
  </si>
  <si>
    <t>P1 ZEG</t>
  </si>
  <si>
    <t>kummulierte Provisionsstufe</t>
  </si>
  <si>
    <t>kummulierte provisorische Net Fees</t>
  </si>
  <si>
    <t>Kummulation aller Auszahlungen</t>
  </si>
  <si>
    <t>Zielerreichung und Auszahlung</t>
  </si>
  <si>
    <t>Variables Gehalt bei 100% ZEG</t>
  </si>
  <si>
    <t>Variables Gehalt bei 100% ZEG / Periode</t>
  </si>
  <si>
    <t>effektive NFs pro P</t>
  </si>
  <si>
    <t>ZEG pro P</t>
  </si>
  <si>
    <t>Provisionssatz pro P</t>
  </si>
  <si>
    <t>Auszahlungs-vorschlag</t>
  </si>
  <si>
    <t>ZEG pro P gerundet</t>
  </si>
  <si>
    <t>kummulierte 80% Abschlagszahlung</t>
  </si>
  <si>
    <t>kummulierte   20%-Rücklage</t>
  </si>
  <si>
    <t>kummulierte      20%-Rücklage</t>
  </si>
  <si>
    <t>kummulierte provis.Provision</t>
  </si>
  <si>
    <t>Geschäftsjahr:</t>
  </si>
  <si>
    <t>Quartal 3</t>
  </si>
  <si>
    <t>Quartal 4</t>
  </si>
  <si>
    <t>Budget/Q</t>
  </si>
  <si>
    <t>Q1 erzielte provisorischer Net Fees</t>
  </si>
  <si>
    <t>kummulierte Restanz nach Q1</t>
  </si>
  <si>
    <t>kummulierte Restanz nach Q2</t>
  </si>
  <si>
    <t>kummulierte Restanz nach Q3</t>
  </si>
  <si>
    <t>kummulierte Restanz nach Q4</t>
  </si>
  <si>
    <t>Q4 effektiver Auszahlungs-betrag</t>
  </si>
  <si>
    <t>Q2 effektiver Auszahlungs-betrag</t>
  </si>
  <si>
    <t>Q1 effektiver Auszahlungs-betrag</t>
  </si>
  <si>
    <t>Q3 effektiver Auszahlungs-betrag</t>
  </si>
  <si>
    <t>Q4 Provisionsstufe</t>
  </si>
  <si>
    <t>Q3 Provisionsstufe</t>
  </si>
  <si>
    <t>Q2 Provisionsstufe</t>
  </si>
  <si>
    <t>Q1 Provisionsstufe</t>
  </si>
  <si>
    <t>Q1 Budget</t>
  </si>
  <si>
    <t>Q2 Budget</t>
  </si>
  <si>
    <t>Q3 Budget</t>
  </si>
  <si>
    <t>Q4 Budget</t>
  </si>
  <si>
    <t>Q4 ZEG</t>
  </si>
  <si>
    <t>Q3 ZEG</t>
  </si>
  <si>
    <t>Q2 ZEG</t>
  </si>
  <si>
    <t>Q2 erzielte provisorischer Net Fees</t>
  </si>
  <si>
    <t>Q3 erzielte provisorischer Net Fees</t>
  </si>
  <si>
    <t>Q4 erzielte provisorischer Net Fees</t>
  </si>
  <si>
    <t>pro Q</t>
  </si>
  <si>
    <t>RG-Nr.</t>
  </si>
  <si>
    <t>Quartal 1</t>
  </si>
  <si>
    <t>Quartal 2</t>
  </si>
  <si>
    <t xml:space="preserve">Consultant </t>
  </si>
  <si>
    <t>2026</t>
  </si>
  <si>
    <t>Joaquin Vega</t>
  </si>
  <si>
    <t>Civil Engineering</t>
  </si>
  <si>
    <t>Jan Osterwalder</t>
  </si>
  <si>
    <t xml:space="preserve">B+S AG </t>
  </si>
  <si>
    <t>FN2026.01.0913</t>
  </si>
  <si>
    <t>Michael Vidal</t>
  </si>
  <si>
    <t xml:space="preserve">Frutiger AG </t>
  </si>
  <si>
    <t>FN2026.02.0901</t>
  </si>
  <si>
    <t>Thomas Aeschbacher</t>
  </si>
  <si>
    <t>Hefti.Hess.Martignoni.</t>
  </si>
  <si>
    <t>FN2026.03.0911</t>
  </si>
  <si>
    <t>Pascal Bader</t>
  </si>
  <si>
    <t>Selmoni Ingenieur AG</t>
  </si>
  <si>
    <t>FN2026.03.0913</t>
  </si>
  <si>
    <t>Daniel Maurer</t>
  </si>
  <si>
    <t>Büchi Bauunternehmung AG</t>
  </si>
  <si>
    <t>FN2026.03.0917</t>
  </si>
  <si>
    <t>Morgane Giorgi</t>
  </si>
  <si>
    <t xml:space="preserve">Grolimund + Partner AG </t>
  </si>
  <si>
    <t>FN2026.03.0919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</si>
</sst>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0.0%"/>
    <numFmt numFmtId="166" formatCode="_ [$CHF-807]\ * #,##0.00_ ;_ [$CHF-807]\ * \-#,##0.00_ ;_ [$CHF-807]\ * &quot;-&quot;??_ ;_ @_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3" tint="0.3999755851924192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rgb="FF0070C0"/>
      <name val="Avenir Light"/>
      <family val="2"/>
    </font>
    <font>
      <b/>
      <sz val="16"/>
      <color theme="1"/>
      <name val="Avenir Light"/>
      <family val="2"/>
    </font>
    <font>
      <b/>
      <sz val="16"/>
      <color theme="9" tint="-0.249977111117893"/>
      <name val="Avenir Light"/>
      <family val="2"/>
    </font>
    <font>
      <b/>
      <sz val="16"/>
      <name val="Avenir Light"/>
      <family val="2"/>
    </font>
    <font>
      <sz val="16"/>
      <color theme="1"/>
      <name val="Avenir Light"/>
      <family val="2"/>
    </font>
    <font>
      <sz val="16"/>
      <color theme="9" tint="-0.249977111117893"/>
      <name val="Avenir Light"/>
      <family val="2"/>
    </font>
    <font>
      <i/>
      <sz val="16"/>
      <color theme="3" tint="0.39997558519241921"/>
      <name val="Avenir Light"/>
      <family val="2"/>
    </font>
    <font>
      <sz val="16"/>
      <color rgb="FF0070C0"/>
      <name val="Avenir Light"/>
      <family val="2"/>
    </font>
    <font>
      <sz val="16"/>
      <name val="Avenir Light"/>
      <family val="2"/>
    </font>
    <font>
      <b/>
      <sz val="16"/>
      <color theme="0"/>
      <name val="Avenir Light"/>
      <family val="2"/>
    </font>
    <font>
      <b/>
      <sz val="16"/>
      <color theme="5" tint="-0.249977111117893"/>
      <name val="Avenir Light"/>
      <family val="2"/>
    </font>
    <font>
      <i/>
      <sz val="16"/>
      <name val="Avenir Light"/>
      <family val="2"/>
    </font>
    <font>
      <sz val="16"/>
      <color rgb="FFFF0000"/>
      <name val="Avenir Light"/>
      <family val="2"/>
    </font>
    <font>
      <b/>
      <sz val="16"/>
      <color rgb="FFFF0000"/>
      <name val="Avenir Light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6EFCE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/>
      <bottom/>
      <diagonal/>
    </border>
    <border>
      <left style="thick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17" borderId="0" applyNumberFormat="0" applyBorder="0" applyAlignment="0" applyProtection="0"/>
  </cellStyleXfs>
  <cellXfs count="337">
    <xf numFmtId="0" fontId="0" fillId="0" borderId="0" xfId="0"/>
    <xf numFmtId="0" fontId="0" fillId="0" borderId="0" xfId="0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0" fillId="0" borderId="0" xfId="0" applyProtection="1">
      <protection hidden="1"/>
    </xf>
    <xf numFmtId="164" fontId="0" fillId="0" borderId="0" xfId="1" applyFont="1" applyAlignment="1" applyProtection="1">
      <alignment horizontal="center"/>
      <protection hidden="1"/>
    </xf>
    <xf numFmtId="9" fontId="0" fillId="0" borderId="0" xfId="2" applyFont="1" applyAlignment="1" applyProtection="1">
      <alignment horizontal="center"/>
      <protection hidden="1"/>
    </xf>
    <xf numFmtId="4" fontId="0" fillId="0" borderId="0" xfId="0" applyNumberFormat="1" applyAlignment="1" applyProtection="1">
      <alignment horizontal="center" wrapText="1"/>
      <protection hidden="1"/>
    </xf>
    <xf numFmtId="1" fontId="0" fillId="0" borderId="0" xfId="0" applyNumberFormat="1" applyAlignment="1" applyProtection="1">
      <alignment horizontal="center"/>
      <protection hidden="1"/>
    </xf>
    <xf numFmtId="1" fontId="0" fillId="0" borderId="0" xfId="0" applyNumberFormat="1" applyAlignment="1" applyProtection="1">
      <alignment horizontal="center" wrapText="1"/>
      <protection hidden="1"/>
    </xf>
    <xf numFmtId="0" fontId="2" fillId="4" borderId="0" xfId="0" applyFont="1" applyFill="1" applyAlignment="1" applyProtection="1">
      <alignment horizontal="center"/>
      <protection hidden="1"/>
    </xf>
    <xf numFmtId="0" fontId="2" fillId="5" borderId="0" xfId="0" applyFont="1" applyFill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43" fontId="0" fillId="0" borderId="0" xfId="0" applyNumberFormat="1" applyAlignment="1" applyProtection="1">
      <alignment horizontal="center"/>
      <protection hidden="1"/>
    </xf>
    <xf numFmtId="9" fontId="0" fillId="0" borderId="0" xfId="0" applyNumberFormat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 wrapText="1"/>
      <protection hidden="1"/>
    </xf>
    <xf numFmtId="0" fontId="0" fillId="0" borderId="4" xfId="0" applyBorder="1" applyAlignment="1" applyProtection="1">
      <alignment horizontal="center" wrapText="1"/>
      <protection hidden="1"/>
    </xf>
    <xf numFmtId="0" fontId="0" fillId="0" borderId="5" xfId="0" applyBorder="1" applyAlignment="1" applyProtection="1">
      <alignment wrapText="1"/>
      <protection hidden="1"/>
    </xf>
    <xf numFmtId="0" fontId="0" fillId="0" borderId="0" xfId="0" applyAlignment="1" applyProtection="1">
      <alignment wrapText="1"/>
      <protection hidden="1"/>
    </xf>
    <xf numFmtId="43" fontId="5" fillId="0" borderId="12" xfId="0" applyNumberFormat="1" applyFont="1" applyBorder="1" applyProtection="1">
      <protection hidden="1"/>
    </xf>
    <xf numFmtId="43" fontId="0" fillId="8" borderId="13" xfId="0" applyNumberFormat="1" applyFill="1" applyBorder="1" applyAlignment="1" applyProtection="1">
      <alignment horizontal="center"/>
      <protection hidden="1"/>
    </xf>
    <xf numFmtId="43" fontId="4" fillId="10" borderId="12" xfId="0" applyNumberFormat="1" applyFont="1" applyFill="1" applyBorder="1" applyAlignment="1" applyProtection="1">
      <alignment horizontal="center"/>
      <protection hidden="1"/>
    </xf>
    <xf numFmtId="43" fontId="5" fillId="0" borderId="9" xfId="0" applyNumberFormat="1" applyFont="1" applyBorder="1" applyProtection="1">
      <protection hidden="1"/>
    </xf>
    <xf numFmtId="43" fontId="0" fillId="5" borderId="10" xfId="0" applyNumberFormat="1" applyFill="1" applyBorder="1" applyAlignment="1" applyProtection="1">
      <alignment horizontal="center"/>
      <protection hidden="1"/>
    </xf>
    <xf numFmtId="43" fontId="0" fillId="8" borderId="11" xfId="0" applyNumberFormat="1" applyFill="1" applyBorder="1" applyAlignment="1" applyProtection="1">
      <alignment horizontal="center"/>
      <protection hidden="1"/>
    </xf>
    <xf numFmtId="43" fontId="4" fillId="10" borderId="9" xfId="0" applyNumberFormat="1" applyFont="1" applyFill="1" applyBorder="1" applyAlignment="1" applyProtection="1">
      <alignment horizontal="center"/>
      <protection hidden="1"/>
    </xf>
    <xf numFmtId="164" fontId="0" fillId="9" borderId="10" xfId="1" applyFont="1" applyFill="1" applyBorder="1" applyProtection="1">
      <protection hidden="1"/>
    </xf>
    <xf numFmtId="43" fontId="0" fillId="0" borderId="10" xfId="0" applyNumberFormat="1" applyBorder="1" applyProtection="1">
      <protection hidden="1"/>
    </xf>
    <xf numFmtId="164" fontId="0" fillId="0" borderId="10" xfId="1" applyFont="1" applyBorder="1" applyProtection="1">
      <protection hidden="1"/>
    </xf>
    <xf numFmtId="9" fontId="6" fillId="0" borderId="0" xfId="2" applyFont="1" applyAlignment="1" applyProtection="1">
      <alignment horizontal="center"/>
      <protection locked="0"/>
    </xf>
    <xf numFmtId="0" fontId="0" fillId="0" borderId="10" xfId="0" applyBorder="1" applyProtection="1">
      <protection hidden="1"/>
    </xf>
    <xf numFmtId="0" fontId="0" fillId="0" borderId="0" xfId="0" applyAlignment="1" applyProtection="1">
      <alignment vertical="center"/>
      <protection hidden="1"/>
    </xf>
    <xf numFmtId="9" fontId="0" fillId="0" borderId="3" xfId="2" applyFont="1" applyBorder="1" applyAlignment="1" applyProtection="1">
      <alignment horizontal="center"/>
      <protection hidden="1"/>
    </xf>
    <xf numFmtId="9" fontId="0" fillId="0" borderId="4" xfId="2" applyFont="1" applyBorder="1" applyAlignment="1" applyProtection="1">
      <alignment horizontal="center" vertical="center" wrapText="1"/>
      <protection hidden="1"/>
    </xf>
    <xf numFmtId="9" fontId="0" fillId="0" borderId="4" xfId="2" applyFon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 vertical="center" wrapText="1"/>
      <protection hidden="1"/>
    </xf>
    <xf numFmtId="0" fontId="0" fillId="0" borderId="4" xfId="0" applyBorder="1" applyProtection="1"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5" borderId="4" xfId="0" applyFill="1" applyBorder="1" applyProtection="1">
      <protection hidden="1"/>
    </xf>
    <xf numFmtId="0" fontId="0" fillId="0" borderId="22" xfId="0" applyBorder="1" applyAlignment="1" applyProtection="1">
      <alignment horizontal="center" wrapText="1"/>
      <protection hidden="1"/>
    </xf>
    <xf numFmtId="4" fontId="0" fillId="0" borderId="12" xfId="2" applyNumberFormat="1" applyFont="1" applyBorder="1" applyAlignment="1" applyProtection="1">
      <alignment horizontal="center"/>
      <protection hidden="1"/>
    </xf>
    <xf numFmtId="9" fontId="0" fillId="0" borderId="0" xfId="2" applyFont="1" applyBorder="1" applyAlignment="1" applyProtection="1">
      <alignment horizontal="center"/>
      <protection hidden="1"/>
    </xf>
    <xf numFmtId="4" fontId="0" fillId="0" borderId="0" xfId="0" applyNumberFormat="1" applyProtection="1">
      <protection hidden="1"/>
    </xf>
    <xf numFmtId="43" fontId="0" fillId="0" borderId="0" xfId="0" applyNumberFormat="1" applyProtection="1">
      <protection hidden="1"/>
    </xf>
    <xf numFmtId="164" fontId="0" fillId="0" borderId="0" xfId="1" applyFont="1" applyBorder="1" applyProtection="1">
      <protection hidden="1"/>
    </xf>
    <xf numFmtId="9" fontId="0" fillId="0" borderId="0" xfId="2" applyFont="1" applyBorder="1" applyProtection="1">
      <protection hidden="1"/>
    </xf>
    <xf numFmtId="165" fontId="0" fillId="5" borderId="0" xfId="2" applyNumberFormat="1" applyFont="1" applyFill="1" applyBorder="1" applyProtection="1">
      <protection hidden="1"/>
    </xf>
    <xf numFmtId="165" fontId="0" fillId="0" borderId="0" xfId="2" applyNumberFormat="1" applyFont="1" applyBorder="1" applyAlignment="1" applyProtection="1">
      <alignment horizontal="center"/>
      <protection hidden="1"/>
    </xf>
    <xf numFmtId="43" fontId="0" fillId="5" borderId="0" xfId="0" applyNumberFormat="1" applyFill="1" applyAlignment="1" applyProtection="1">
      <alignment horizontal="center"/>
      <protection hidden="1"/>
    </xf>
    <xf numFmtId="164" fontId="0" fillId="9" borderId="0" xfId="1" applyFont="1" applyFill="1" applyBorder="1" applyProtection="1">
      <protection hidden="1"/>
    </xf>
    <xf numFmtId="164" fontId="0" fillId="0" borderId="0" xfId="0" applyNumberFormat="1" applyProtection="1">
      <protection hidden="1"/>
    </xf>
    <xf numFmtId="43" fontId="2" fillId="0" borderId="23" xfId="0" applyNumberFormat="1" applyFont="1" applyBorder="1" applyProtection="1">
      <protection hidden="1"/>
    </xf>
    <xf numFmtId="9" fontId="0" fillId="0" borderId="9" xfId="2" applyFont="1" applyBorder="1" applyAlignment="1" applyProtection="1">
      <alignment horizontal="center"/>
      <protection hidden="1"/>
    </xf>
    <xf numFmtId="9" fontId="0" fillId="0" borderId="10" xfId="2" applyFont="1" applyBorder="1" applyAlignment="1" applyProtection="1">
      <alignment horizontal="center"/>
      <protection hidden="1"/>
    </xf>
    <xf numFmtId="4" fontId="0" fillId="0" borderId="10" xfId="0" applyNumberFormat="1" applyBorder="1" applyProtection="1">
      <protection hidden="1"/>
    </xf>
    <xf numFmtId="9" fontId="0" fillId="0" borderId="10" xfId="2" applyFont="1" applyBorder="1" applyProtection="1">
      <protection hidden="1"/>
    </xf>
    <xf numFmtId="165" fontId="0" fillId="5" borderId="10" xfId="2" applyNumberFormat="1" applyFont="1" applyFill="1" applyBorder="1" applyProtection="1">
      <protection hidden="1"/>
    </xf>
    <xf numFmtId="165" fontId="0" fillId="0" borderId="10" xfId="2" applyNumberFormat="1" applyFont="1" applyBorder="1" applyAlignment="1" applyProtection="1">
      <alignment horizontal="center"/>
      <protection hidden="1"/>
    </xf>
    <xf numFmtId="43" fontId="2" fillId="0" borderId="24" xfId="0" applyNumberFormat="1" applyFont="1" applyBorder="1" applyProtection="1">
      <protection hidden="1"/>
    </xf>
    <xf numFmtId="0" fontId="10" fillId="0" borderId="6" xfId="0" applyFont="1" applyBorder="1" applyProtection="1">
      <protection hidden="1"/>
    </xf>
    <xf numFmtId="0" fontId="13" fillId="10" borderId="4" xfId="0" applyFont="1" applyFill="1" applyBorder="1" applyAlignment="1" applyProtection="1">
      <alignment horizontal="center"/>
      <protection hidden="1"/>
    </xf>
    <xf numFmtId="0" fontId="10" fillId="14" borderId="3" xfId="0" applyFont="1" applyFill="1" applyBorder="1" applyAlignment="1" applyProtection="1">
      <alignment horizontal="center" wrapText="1"/>
      <protection hidden="1"/>
    </xf>
    <xf numFmtId="2" fontId="11" fillId="10" borderId="4" xfId="0" applyNumberFormat="1" applyFont="1" applyFill="1" applyBorder="1" applyAlignment="1" applyProtection="1">
      <alignment horizontal="center" wrapText="1"/>
      <protection hidden="1"/>
    </xf>
    <xf numFmtId="0" fontId="13" fillId="10" borderId="5" xfId="0" applyFont="1" applyFill="1" applyBorder="1" applyProtection="1">
      <protection hidden="1"/>
    </xf>
    <xf numFmtId="0" fontId="10" fillId="0" borderId="12" xfId="0" applyFont="1" applyBorder="1" applyProtection="1">
      <protection hidden="1"/>
    </xf>
    <xf numFmtId="0" fontId="13" fillId="10" borderId="0" xfId="0" applyFont="1" applyFill="1" applyAlignment="1" applyProtection="1">
      <alignment horizontal="center"/>
      <protection hidden="1"/>
    </xf>
    <xf numFmtId="3" fontId="13" fillId="14" borderId="9" xfId="0" applyNumberFormat="1" applyFont="1" applyFill="1" applyBorder="1" applyAlignment="1" applyProtection="1">
      <alignment horizontal="center"/>
      <protection locked="0"/>
    </xf>
    <xf numFmtId="0" fontId="14" fillId="10" borderId="0" xfId="0" applyFont="1" applyFill="1" applyAlignment="1" applyProtection="1">
      <alignment horizontal="center"/>
      <protection hidden="1"/>
    </xf>
    <xf numFmtId="0" fontId="13" fillId="10" borderId="13" xfId="0" applyFont="1" applyFill="1" applyBorder="1" applyProtection="1">
      <protection hidden="1"/>
    </xf>
    <xf numFmtId="0" fontId="10" fillId="0" borderId="9" xfId="0" applyFont="1" applyBorder="1" applyProtection="1">
      <protection hidden="1"/>
    </xf>
    <xf numFmtId="0" fontId="15" fillId="10" borderId="0" xfId="0" applyFont="1" applyFill="1" applyAlignment="1" applyProtection="1">
      <alignment horizontal="center"/>
      <protection hidden="1"/>
    </xf>
    <xf numFmtId="0" fontId="13" fillId="0" borderId="12" xfId="0" applyFont="1" applyBorder="1" applyProtection="1">
      <protection hidden="1"/>
    </xf>
    <xf numFmtId="0" fontId="13" fillId="0" borderId="0" xfId="0" applyFont="1" applyProtection="1">
      <protection hidden="1"/>
    </xf>
    <xf numFmtId="0" fontId="13" fillId="0" borderId="0" xfId="0" applyFont="1" applyAlignment="1" applyProtection="1">
      <alignment horizontal="center"/>
      <protection hidden="1"/>
    </xf>
    <xf numFmtId="0" fontId="13" fillId="0" borderId="13" xfId="0" applyFont="1" applyBorder="1" applyProtection="1">
      <protection hidden="1"/>
    </xf>
    <xf numFmtId="0" fontId="12" fillId="2" borderId="3" xfId="0" applyFont="1" applyFill="1" applyBorder="1" applyAlignment="1" applyProtection="1">
      <alignment horizontal="center" vertical="center"/>
      <protection hidden="1"/>
    </xf>
    <xf numFmtId="0" fontId="12" fillId="2" borderId="4" xfId="0" applyFont="1" applyFill="1" applyBorder="1" applyAlignment="1" applyProtection="1">
      <alignment horizontal="center" vertical="center"/>
      <protection hidden="1"/>
    </xf>
    <xf numFmtId="0" fontId="12" fillId="2" borderId="4" xfId="0" applyFont="1" applyFill="1" applyBorder="1" applyAlignment="1" applyProtection="1">
      <alignment horizontal="center" vertical="center" wrapText="1"/>
      <protection hidden="1"/>
    </xf>
    <xf numFmtId="0" fontId="10" fillId="2" borderId="4" xfId="0" applyFont="1" applyFill="1" applyBorder="1" applyAlignment="1" applyProtection="1">
      <alignment horizontal="center" vertical="center" wrapText="1"/>
      <protection hidden="1"/>
    </xf>
    <xf numFmtId="0" fontId="12" fillId="0" borderId="12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3" fillId="2" borderId="8" xfId="0" applyFont="1" applyFill="1" applyBorder="1" applyAlignment="1" applyProtection="1">
      <alignment vertical="center"/>
      <protection hidden="1"/>
    </xf>
    <xf numFmtId="0" fontId="9" fillId="0" borderId="12" xfId="0" applyFont="1" applyBorder="1" applyProtection="1">
      <protection locked="0"/>
    </xf>
    <xf numFmtId="0" fontId="9" fillId="0" borderId="0" xfId="0" applyFont="1" applyProtection="1">
      <protection locked="0"/>
    </xf>
    <xf numFmtId="0" fontId="16" fillId="0" borderId="0" xfId="0" applyFont="1" applyAlignment="1" applyProtection="1">
      <alignment horizontal="right"/>
      <protection locked="0"/>
    </xf>
    <xf numFmtId="166" fontId="16" fillId="0" borderId="0" xfId="0" applyNumberFormat="1" applyFont="1" applyAlignment="1" applyProtection="1">
      <alignment horizontal="right" wrapText="1"/>
      <protection locked="0"/>
    </xf>
    <xf numFmtId="1" fontId="16" fillId="0" borderId="0" xfId="0" applyNumberFormat="1" applyFont="1" applyAlignment="1" applyProtection="1">
      <alignment horizontal="center"/>
      <protection locked="0"/>
    </xf>
    <xf numFmtId="166" fontId="16" fillId="2" borderId="3" xfId="0" applyNumberFormat="1" applyFont="1" applyFill="1" applyBorder="1" applyAlignment="1" applyProtection="1">
      <alignment horizontal="center" wrapText="1"/>
      <protection hidden="1"/>
    </xf>
    <xf numFmtId="4" fontId="17" fillId="10" borderId="4" xfId="0" applyNumberFormat="1" applyFont="1" applyFill="1" applyBorder="1" applyAlignment="1" applyProtection="1">
      <alignment vertical="center" wrapText="1"/>
      <protection hidden="1"/>
    </xf>
    <xf numFmtId="0" fontId="13" fillId="2" borderId="5" xfId="0" applyFont="1" applyFill="1" applyBorder="1" applyProtection="1">
      <protection hidden="1"/>
    </xf>
    <xf numFmtId="14" fontId="16" fillId="0" borderId="0" xfId="0" applyNumberFormat="1" applyFont="1" applyAlignment="1" applyProtection="1">
      <alignment horizontal="center"/>
      <protection locked="0"/>
    </xf>
    <xf numFmtId="166" fontId="16" fillId="2" borderId="12" xfId="0" applyNumberFormat="1" applyFont="1" applyFill="1" applyBorder="1" applyAlignment="1" applyProtection="1">
      <alignment horizontal="center" wrapText="1"/>
      <protection hidden="1"/>
    </xf>
    <xf numFmtId="4" fontId="17" fillId="10" borderId="0" xfId="0" applyNumberFormat="1" applyFont="1" applyFill="1" applyAlignment="1" applyProtection="1">
      <alignment vertical="center" wrapText="1"/>
      <protection hidden="1"/>
    </xf>
    <xf numFmtId="0" fontId="13" fillId="2" borderId="13" xfId="0" applyFont="1" applyFill="1" applyBorder="1" applyProtection="1">
      <protection hidden="1"/>
    </xf>
    <xf numFmtId="14" fontId="16" fillId="0" borderId="0" xfId="0" applyNumberFormat="1" applyFont="1" applyAlignment="1" applyProtection="1">
      <alignment horizontal="right"/>
      <protection locked="0"/>
    </xf>
    <xf numFmtId="4" fontId="16" fillId="0" borderId="0" xfId="0" applyNumberFormat="1" applyFont="1" applyAlignment="1" applyProtection="1">
      <alignment horizontal="right" wrapText="1"/>
      <protection locked="0"/>
    </xf>
    <xf numFmtId="4" fontId="17" fillId="10" borderId="0" xfId="2" applyNumberFormat="1" applyFont="1" applyFill="1" applyBorder="1" applyAlignment="1" applyProtection="1">
      <alignment vertical="center"/>
      <protection hidden="1"/>
    </xf>
    <xf numFmtId="4" fontId="17" fillId="10" borderId="0" xfId="0" applyNumberFormat="1" applyFont="1" applyFill="1" applyAlignment="1" applyProtection="1">
      <alignment vertical="center"/>
      <protection hidden="1"/>
    </xf>
    <xf numFmtId="0" fontId="9" fillId="0" borderId="9" xfId="0" applyFont="1" applyBorder="1" applyProtection="1">
      <protection locked="0"/>
    </xf>
    <xf numFmtId="0" fontId="9" fillId="0" borderId="10" xfId="0" applyFont="1" applyBorder="1" applyProtection="1">
      <protection locked="0"/>
    </xf>
    <xf numFmtId="0" fontId="16" fillId="0" borderId="10" xfId="0" applyFont="1" applyBorder="1" applyAlignment="1" applyProtection="1">
      <alignment horizontal="center"/>
      <protection locked="0"/>
    </xf>
    <xf numFmtId="14" fontId="16" fillId="0" borderId="10" xfId="0" applyNumberFormat="1" applyFont="1" applyBorder="1" applyAlignment="1" applyProtection="1">
      <alignment horizontal="center"/>
      <protection locked="0"/>
    </xf>
    <xf numFmtId="4" fontId="16" fillId="0" borderId="10" xfId="0" applyNumberFormat="1" applyFont="1" applyBorder="1" applyAlignment="1" applyProtection="1">
      <alignment horizontal="right" wrapText="1"/>
      <protection locked="0"/>
    </xf>
    <xf numFmtId="1" fontId="16" fillId="0" borderId="10" xfId="0" applyNumberFormat="1" applyFont="1" applyBorder="1" applyAlignment="1" applyProtection="1">
      <alignment horizontal="center"/>
      <protection locked="0"/>
    </xf>
    <xf numFmtId="166" fontId="16" fillId="2" borderId="9" xfId="0" applyNumberFormat="1" applyFont="1" applyFill="1" applyBorder="1" applyAlignment="1" applyProtection="1">
      <alignment horizontal="center" wrapText="1"/>
      <protection hidden="1"/>
    </xf>
    <xf numFmtId="0" fontId="13" fillId="2" borderId="11" xfId="0" applyFont="1" applyFill="1" applyBorder="1" applyProtection="1">
      <protection hidden="1"/>
    </xf>
    <xf numFmtId="0" fontId="9" fillId="0" borderId="12" xfId="0" applyFont="1" applyBorder="1" applyProtection="1">
      <protection hidden="1"/>
    </xf>
    <xf numFmtId="0" fontId="9" fillId="0" borderId="0" xfId="0" applyFont="1" applyProtection="1">
      <protection hidden="1"/>
    </xf>
    <xf numFmtId="0" fontId="16" fillId="0" borderId="0" xfId="0" applyFont="1" applyAlignment="1" applyProtection="1">
      <alignment horizontal="center"/>
      <protection hidden="1"/>
    </xf>
    <xf numFmtId="14" fontId="16" fillId="0" borderId="0" xfId="0" applyNumberFormat="1" applyFont="1" applyAlignment="1" applyProtection="1">
      <alignment horizontal="center"/>
      <protection hidden="1"/>
    </xf>
    <xf numFmtId="4" fontId="16" fillId="0" borderId="0" xfId="0" applyNumberFormat="1" applyFont="1" applyAlignment="1" applyProtection="1">
      <alignment horizontal="right" wrapText="1"/>
      <protection hidden="1"/>
    </xf>
    <xf numFmtId="1" fontId="16" fillId="0" borderId="0" xfId="0" applyNumberFormat="1" applyFont="1" applyAlignment="1" applyProtection="1">
      <alignment horizontal="center"/>
      <protection hidden="1"/>
    </xf>
    <xf numFmtId="4" fontId="17" fillId="10" borderId="0" xfId="0" applyNumberFormat="1" applyFont="1" applyFill="1" applyAlignment="1" applyProtection="1">
      <alignment horizontal="center" wrapText="1"/>
      <protection hidden="1"/>
    </xf>
    <xf numFmtId="4" fontId="16" fillId="0" borderId="0" xfId="0" applyNumberFormat="1" applyFont="1" applyAlignment="1" applyProtection="1">
      <alignment vertical="center"/>
      <protection hidden="1"/>
    </xf>
    <xf numFmtId="4" fontId="14" fillId="0" borderId="0" xfId="0" applyNumberFormat="1" applyFont="1" applyAlignment="1" applyProtection="1">
      <alignment vertical="center"/>
      <protection hidden="1"/>
    </xf>
    <xf numFmtId="0" fontId="9" fillId="0" borderId="3" xfId="0" applyFont="1" applyBorder="1" applyProtection="1">
      <protection locked="0"/>
    </xf>
    <xf numFmtId="0" fontId="9" fillId="0" borderId="4" xfId="0" applyFont="1" applyBorder="1" applyProtection="1">
      <protection locked="0"/>
    </xf>
    <xf numFmtId="0" fontId="16" fillId="0" borderId="4" xfId="0" applyFont="1" applyBorder="1" applyAlignment="1" applyProtection="1">
      <alignment horizontal="right"/>
      <protection locked="0"/>
    </xf>
    <xf numFmtId="166" fontId="16" fillId="0" borderId="4" xfId="0" applyNumberFormat="1" applyFont="1" applyBorder="1" applyAlignment="1" applyProtection="1">
      <alignment horizontal="right" wrapText="1"/>
      <protection locked="0"/>
    </xf>
    <xf numFmtId="1" fontId="16" fillId="0" borderId="4" xfId="0" applyNumberFormat="1" applyFont="1" applyBorder="1" applyAlignment="1" applyProtection="1">
      <alignment horizontal="center"/>
      <protection locked="0"/>
    </xf>
    <xf numFmtId="166" fontId="17" fillId="2" borderId="3" xfId="0" applyNumberFormat="1" applyFont="1" applyFill="1" applyBorder="1" applyAlignment="1" applyProtection="1">
      <alignment horizontal="center" wrapText="1"/>
      <protection hidden="1"/>
    </xf>
    <xf numFmtId="0" fontId="13" fillId="0" borderId="0" xfId="0" applyFont="1"/>
    <xf numFmtId="166" fontId="17" fillId="2" borderId="12" xfId="0" applyNumberFormat="1" applyFont="1" applyFill="1" applyBorder="1" applyAlignment="1" applyProtection="1">
      <alignment horizontal="center" wrapText="1"/>
      <protection hidden="1"/>
    </xf>
    <xf numFmtId="0" fontId="13" fillId="0" borderId="12" xfId="0" applyFont="1" applyBorder="1"/>
    <xf numFmtId="0" fontId="13" fillId="0" borderId="9" xfId="0" applyFont="1" applyBorder="1" applyProtection="1">
      <protection hidden="1"/>
    </xf>
    <xf numFmtId="0" fontId="13" fillId="0" borderId="10" xfId="0" applyFont="1" applyBorder="1" applyProtection="1">
      <protection hidden="1"/>
    </xf>
    <xf numFmtId="0" fontId="13" fillId="0" borderId="10" xfId="0" applyFont="1" applyBorder="1" applyAlignment="1" applyProtection="1">
      <alignment horizontal="center"/>
      <protection hidden="1"/>
    </xf>
    <xf numFmtId="166" fontId="17" fillId="2" borderId="9" xfId="0" applyNumberFormat="1" applyFont="1" applyFill="1" applyBorder="1" applyAlignment="1" applyProtection="1">
      <alignment horizontal="center" wrapText="1"/>
      <protection hidden="1"/>
    </xf>
    <xf numFmtId="0" fontId="9" fillId="10" borderId="0" xfId="0" applyFont="1" applyFill="1" applyProtection="1">
      <protection hidden="1"/>
    </xf>
    <xf numFmtId="0" fontId="16" fillId="10" borderId="0" xfId="0" applyFont="1" applyFill="1" applyAlignment="1" applyProtection="1">
      <alignment horizontal="center"/>
      <protection hidden="1"/>
    </xf>
    <xf numFmtId="14" fontId="16" fillId="10" borderId="0" xfId="0" applyNumberFormat="1" applyFont="1" applyFill="1" applyAlignment="1" applyProtection="1">
      <alignment horizontal="center"/>
      <protection hidden="1"/>
    </xf>
    <xf numFmtId="4" fontId="16" fillId="10" borderId="0" xfId="0" applyNumberFormat="1" applyFont="1" applyFill="1" applyAlignment="1" applyProtection="1">
      <alignment horizontal="right" wrapText="1"/>
      <protection hidden="1"/>
    </xf>
    <xf numFmtId="1" fontId="16" fillId="10" borderId="0" xfId="0" applyNumberFormat="1" applyFont="1" applyFill="1" applyAlignment="1" applyProtection="1">
      <alignment horizontal="center"/>
      <protection hidden="1"/>
    </xf>
    <xf numFmtId="14" fontId="17" fillId="10" borderId="0" xfId="0" applyNumberFormat="1" applyFont="1" applyFill="1" applyAlignment="1" applyProtection="1">
      <alignment horizontal="center"/>
      <protection hidden="1"/>
    </xf>
    <xf numFmtId="9" fontId="17" fillId="10" borderId="0" xfId="0" applyNumberFormat="1" applyFont="1" applyFill="1" applyAlignment="1" applyProtection="1">
      <alignment horizontal="center"/>
      <protection hidden="1"/>
    </xf>
    <xf numFmtId="4" fontId="17" fillId="10" borderId="0" xfId="0" applyNumberFormat="1" applyFont="1" applyFill="1" applyAlignment="1" applyProtection="1">
      <alignment horizontal="center"/>
      <protection hidden="1"/>
    </xf>
    <xf numFmtId="9" fontId="20" fillId="10" borderId="0" xfId="2" applyFont="1" applyFill="1" applyBorder="1" applyAlignment="1" applyProtection="1">
      <alignment horizontal="center"/>
      <protection hidden="1"/>
    </xf>
    <xf numFmtId="0" fontId="13" fillId="2" borderId="5" xfId="0" applyFont="1" applyFill="1" applyBorder="1" applyAlignment="1" applyProtection="1">
      <alignment vertical="center"/>
      <protection hidden="1"/>
    </xf>
    <xf numFmtId="0" fontId="17" fillId="0" borderId="0" xfId="0" applyFont="1" applyAlignment="1" applyProtection="1">
      <alignment horizontal="right"/>
      <protection locked="0"/>
    </xf>
    <xf numFmtId="14" fontId="17" fillId="0" borderId="0" xfId="3" applyNumberFormat="1" applyFont="1" applyFill="1" applyBorder="1" applyAlignment="1" applyProtection="1">
      <alignment horizontal="right"/>
      <protection locked="0"/>
    </xf>
    <xf numFmtId="4" fontId="17" fillId="2" borderId="3" xfId="0" applyNumberFormat="1" applyFont="1" applyFill="1" applyBorder="1" applyAlignment="1" applyProtection="1">
      <alignment horizontal="center" wrapText="1"/>
      <protection hidden="1"/>
    </xf>
    <xf numFmtId="4" fontId="17" fillId="2" borderId="12" xfId="0" applyNumberFormat="1" applyFont="1" applyFill="1" applyBorder="1" applyAlignment="1" applyProtection="1">
      <alignment horizontal="center" wrapText="1"/>
      <protection hidden="1"/>
    </xf>
    <xf numFmtId="0" fontId="16" fillId="0" borderId="12" xfId="0" applyFont="1" applyBorder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/>
      <protection locked="0"/>
    </xf>
    <xf numFmtId="0" fontId="16" fillId="0" borderId="12" xfId="0" applyFont="1" applyBorder="1" applyProtection="1">
      <protection locked="0"/>
    </xf>
    <xf numFmtId="0" fontId="16" fillId="0" borderId="0" xfId="0" applyFont="1" applyProtection="1">
      <protection locked="0"/>
    </xf>
    <xf numFmtId="0" fontId="16" fillId="0" borderId="9" xfId="0" applyFont="1" applyBorder="1" applyProtection="1">
      <protection locked="0"/>
    </xf>
    <xf numFmtId="0" fontId="16" fillId="0" borderId="10" xfId="0" applyFont="1" applyBorder="1" applyProtection="1">
      <protection locked="0"/>
    </xf>
    <xf numFmtId="4" fontId="17" fillId="2" borderId="9" xfId="0" applyNumberFormat="1" applyFont="1" applyFill="1" applyBorder="1" applyAlignment="1" applyProtection="1">
      <alignment horizontal="center" wrapText="1"/>
      <protection hidden="1"/>
    </xf>
    <xf numFmtId="0" fontId="16" fillId="10" borderId="4" xfId="0" applyFont="1" applyFill="1" applyBorder="1" applyProtection="1">
      <protection hidden="1"/>
    </xf>
    <xf numFmtId="0" fontId="16" fillId="10" borderId="4" xfId="0" applyFont="1" applyFill="1" applyBorder="1" applyAlignment="1" applyProtection="1">
      <alignment horizontal="center"/>
      <protection hidden="1"/>
    </xf>
    <xf numFmtId="4" fontId="16" fillId="10" borderId="4" xfId="0" applyNumberFormat="1" applyFont="1" applyFill="1" applyBorder="1" applyAlignment="1" applyProtection="1">
      <alignment horizontal="right" wrapText="1"/>
      <protection hidden="1"/>
    </xf>
    <xf numFmtId="1" fontId="16" fillId="10" borderId="4" xfId="0" applyNumberFormat="1" applyFont="1" applyFill="1" applyBorder="1" applyAlignment="1" applyProtection="1">
      <alignment horizontal="center"/>
      <protection hidden="1"/>
    </xf>
    <xf numFmtId="4" fontId="17" fillId="10" borderId="4" xfId="0" applyNumberFormat="1" applyFont="1" applyFill="1" applyBorder="1" applyAlignment="1" applyProtection="1">
      <alignment horizontal="center" wrapText="1"/>
      <protection hidden="1"/>
    </xf>
    <xf numFmtId="4" fontId="14" fillId="10" borderId="0" xfId="0" applyNumberFormat="1" applyFont="1" applyFill="1" applyAlignment="1" applyProtection="1">
      <alignment horizontal="center"/>
      <protection hidden="1"/>
    </xf>
    <xf numFmtId="9" fontId="15" fillId="10" borderId="0" xfId="2" applyFont="1" applyFill="1" applyBorder="1" applyAlignment="1" applyProtection="1">
      <alignment horizontal="center"/>
      <protection hidden="1"/>
    </xf>
    <xf numFmtId="14" fontId="16" fillId="0" borderId="4" xfId="0" applyNumberFormat="1" applyFont="1" applyBorder="1" applyAlignment="1" applyProtection="1">
      <alignment horizontal="center"/>
      <protection locked="0"/>
    </xf>
    <xf numFmtId="14" fontId="21" fillId="0" borderId="4" xfId="0" applyNumberFormat="1" applyFont="1" applyBorder="1" applyAlignment="1" applyProtection="1">
      <alignment horizontal="center"/>
      <protection locked="0"/>
    </xf>
    <xf numFmtId="4" fontId="16" fillId="0" borderId="4" xfId="0" applyNumberFormat="1" applyFont="1" applyBorder="1" applyAlignment="1" applyProtection="1">
      <alignment horizontal="right" wrapText="1"/>
      <protection locked="0"/>
    </xf>
    <xf numFmtId="14" fontId="21" fillId="0" borderId="0" xfId="0" applyNumberFormat="1" applyFont="1" applyAlignment="1" applyProtection="1">
      <alignment horizontal="center"/>
      <protection locked="0"/>
    </xf>
    <xf numFmtId="0" fontId="22" fillId="0" borderId="12" xfId="0" applyFont="1" applyBorder="1" applyProtection="1">
      <protection locked="0"/>
    </xf>
    <xf numFmtId="0" fontId="22" fillId="0" borderId="0" xfId="0" applyFont="1" applyProtection="1">
      <protection locked="0"/>
    </xf>
    <xf numFmtId="0" fontId="21" fillId="0" borderId="0" xfId="0" applyFont="1" applyAlignment="1" applyProtection="1">
      <alignment horizontal="center"/>
      <protection locked="0"/>
    </xf>
    <xf numFmtId="4" fontId="21" fillId="0" borderId="0" xfId="0" applyNumberFormat="1" applyFont="1" applyAlignment="1" applyProtection="1">
      <alignment horizontal="right" wrapText="1"/>
      <protection locked="0"/>
    </xf>
    <xf numFmtId="0" fontId="16" fillId="12" borderId="9" xfId="0" applyFont="1" applyFill="1" applyBorder="1" applyProtection="1">
      <protection locked="0"/>
    </xf>
    <xf numFmtId="0" fontId="16" fillId="12" borderId="10" xfId="0" applyFont="1" applyFill="1" applyBorder="1" applyProtection="1">
      <protection locked="0"/>
    </xf>
    <xf numFmtId="0" fontId="16" fillId="12" borderId="10" xfId="0" applyFont="1" applyFill="1" applyBorder="1" applyAlignment="1" applyProtection="1">
      <alignment horizontal="center"/>
      <protection locked="0"/>
    </xf>
    <xf numFmtId="4" fontId="16" fillId="12" borderId="10" xfId="0" applyNumberFormat="1" applyFont="1" applyFill="1" applyBorder="1" applyAlignment="1" applyProtection="1">
      <alignment horizontal="right" wrapText="1"/>
      <protection locked="0"/>
    </xf>
    <xf numFmtId="1" fontId="16" fillId="12" borderId="10" xfId="0" applyNumberFormat="1" applyFont="1" applyFill="1" applyBorder="1" applyAlignment="1" applyProtection="1">
      <alignment horizontal="center"/>
      <protection locked="0"/>
    </xf>
    <xf numFmtId="4" fontId="13" fillId="0" borderId="0" xfId="0" applyNumberFormat="1" applyFont="1" applyAlignment="1" applyProtection="1">
      <alignment horizontal="center" wrapText="1"/>
      <protection hidden="1"/>
    </xf>
    <xf numFmtId="1" fontId="13" fillId="0" borderId="0" xfId="0" applyNumberFormat="1" applyFont="1" applyAlignment="1" applyProtection="1">
      <alignment horizontal="center"/>
      <protection hidden="1"/>
    </xf>
    <xf numFmtId="1" fontId="13" fillId="0" borderId="0" xfId="0" applyNumberFormat="1" applyFont="1" applyAlignment="1" applyProtection="1">
      <alignment horizontal="center" wrapText="1"/>
      <protection hidden="1"/>
    </xf>
    <xf numFmtId="0" fontId="13" fillId="0" borderId="0" xfId="0" applyFont="1" applyAlignment="1">
      <alignment horizontal="center"/>
    </xf>
    <xf numFmtId="0" fontId="12" fillId="0" borderId="0" xfId="0" applyFont="1" applyAlignment="1" applyProtection="1">
      <alignment horizontal="center"/>
      <protection hidden="1"/>
    </xf>
    <xf numFmtId="0" fontId="14" fillId="10" borderId="0" xfId="0" applyFont="1" applyFill="1" applyAlignment="1" applyProtection="1">
      <alignment horizontal="center"/>
      <protection hidden="1"/>
    </xf>
    <xf numFmtId="14" fontId="13" fillId="0" borderId="10" xfId="0" applyNumberFormat="1" applyFont="1" applyBorder="1" applyAlignment="1" applyProtection="1">
      <alignment horizontal="right"/>
      <protection hidden="1"/>
    </xf>
    <xf numFmtId="14" fontId="13" fillId="0" borderId="11" xfId="0" applyNumberFormat="1" applyFont="1" applyBorder="1" applyAlignment="1" applyProtection="1">
      <alignment horizontal="right"/>
      <protection hidden="1"/>
    </xf>
    <xf numFmtId="4" fontId="13" fillId="15" borderId="10" xfId="0" applyNumberFormat="1" applyFont="1" applyFill="1" applyBorder="1" applyAlignment="1" applyProtection="1">
      <alignment horizontal="center"/>
      <protection hidden="1"/>
    </xf>
    <xf numFmtId="2" fontId="11" fillId="10" borderId="4" xfId="0" applyNumberFormat="1" applyFont="1" applyFill="1" applyBorder="1" applyAlignment="1" applyProtection="1">
      <alignment horizontal="center" wrapText="1"/>
      <protection hidden="1"/>
    </xf>
    <xf numFmtId="49" fontId="14" fillId="0" borderId="0" xfId="0" applyNumberFormat="1" applyFont="1" applyAlignment="1" applyProtection="1">
      <alignment horizontal="right"/>
      <protection locked="0"/>
    </xf>
    <xf numFmtId="49" fontId="14" fillId="0" borderId="13" xfId="0" applyNumberFormat="1" applyFont="1" applyBorder="1" applyAlignment="1" applyProtection="1">
      <alignment horizontal="right"/>
      <protection locked="0"/>
    </xf>
    <xf numFmtId="0" fontId="10" fillId="15" borderId="4" xfId="0" applyFont="1" applyFill="1" applyBorder="1" applyAlignment="1" applyProtection="1">
      <alignment horizontal="center" wrapText="1"/>
      <protection hidden="1"/>
    </xf>
    <xf numFmtId="0" fontId="10" fillId="7" borderId="4" xfId="0" applyFont="1" applyFill="1" applyBorder="1" applyAlignment="1" applyProtection="1">
      <alignment horizontal="center" wrapText="1"/>
      <protection hidden="1"/>
    </xf>
    <xf numFmtId="4" fontId="13" fillId="7" borderId="10" xfId="0" applyNumberFormat="1" applyFont="1" applyFill="1" applyBorder="1" applyAlignment="1" applyProtection="1">
      <alignment horizontal="center"/>
      <protection locked="0"/>
    </xf>
    <xf numFmtId="0" fontId="10" fillId="6" borderId="4" xfId="0" applyFont="1" applyFill="1" applyBorder="1" applyAlignment="1" applyProtection="1">
      <alignment horizontal="center" wrapText="1"/>
      <protection hidden="1"/>
    </xf>
    <xf numFmtId="0" fontId="10" fillId="6" borderId="5" xfId="0" applyFont="1" applyFill="1" applyBorder="1" applyAlignment="1" applyProtection="1">
      <alignment horizontal="center" wrapText="1"/>
      <protection hidden="1"/>
    </xf>
    <xf numFmtId="4" fontId="13" fillId="6" borderId="10" xfId="0" applyNumberFormat="1" applyFont="1" applyFill="1" applyBorder="1" applyAlignment="1" applyProtection="1">
      <alignment horizontal="center"/>
      <protection hidden="1"/>
    </xf>
    <xf numFmtId="4" fontId="13" fillId="6" borderId="11" xfId="0" applyNumberFormat="1" applyFont="1" applyFill="1" applyBorder="1" applyAlignment="1" applyProtection="1">
      <alignment horizontal="center"/>
      <protection hidden="1"/>
    </xf>
    <xf numFmtId="0" fontId="13" fillId="10" borderId="3" xfId="0" applyFont="1" applyFill="1" applyBorder="1" applyAlignment="1" applyProtection="1">
      <alignment horizontal="center"/>
      <protection hidden="1"/>
    </xf>
    <xf numFmtId="0" fontId="13" fillId="10" borderId="4" xfId="0" applyFont="1" applyFill="1" applyBorder="1" applyAlignment="1" applyProtection="1">
      <alignment horizontal="center"/>
      <protection hidden="1"/>
    </xf>
    <xf numFmtId="0" fontId="13" fillId="10" borderId="5" xfId="0" applyFont="1" applyFill="1" applyBorder="1" applyAlignment="1" applyProtection="1">
      <alignment horizontal="center"/>
      <protection hidden="1"/>
    </xf>
    <xf numFmtId="0" fontId="10" fillId="10" borderId="9" xfId="0" applyFont="1" applyFill="1" applyBorder="1" applyAlignment="1" applyProtection="1">
      <alignment horizontal="center"/>
      <protection hidden="1"/>
    </xf>
    <xf numFmtId="0" fontId="10" fillId="10" borderId="10" xfId="0" applyFont="1" applyFill="1" applyBorder="1" applyAlignment="1" applyProtection="1">
      <alignment horizontal="center"/>
      <protection hidden="1"/>
    </xf>
    <xf numFmtId="0" fontId="10" fillId="10" borderId="11" xfId="0" applyFont="1" applyFill="1" applyBorder="1" applyAlignment="1" applyProtection="1">
      <alignment horizontal="center"/>
      <protection hidden="1"/>
    </xf>
    <xf numFmtId="49" fontId="11" fillId="3" borderId="7" xfId="0" applyNumberFormat="1" applyFont="1" applyFill="1" applyBorder="1" applyAlignment="1" applyProtection="1">
      <alignment horizontal="center"/>
      <protection locked="0"/>
    </xf>
    <xf numFmtId="49" fontId="11" fillId="3" borderId="8" xfId="0" applyNumberFormat="1" applyFont="1" applyFill="1" applyBorder="1" applyAlignment="1" applyProtection="1">
      <alignment horizontal="center"/>
      <protection locked="0"/>
    </xf>
    <xf numFmtId="9" fontId="12" fillId="0" borderId="0" xfId="2" applyFont="1" applyBorder="1" applyAlignment="1" applyProtection="1">
      <alignment horizontal="center" vertical="center"/>
      <protection hidden="1"/>
    </xf>
    <xf numFmtId="9" fontId="12" fillId="0" borderId="10" xfId="2" applyFont="1" applyBorder="1" applyAlignment="1" applyProtection="1">
      <alignment horizontal="center" vertical="center"/>
      <protection hidden="1"/>
    </xf>
    <xf numFmtId="9" fontId="17" fillId="0" borderId="0" xfId="2" applyFont="1" applyBorder="1" applyAlignment="1" applyProtection="1">
      <alignment horizontal="center" vertical="center"/>
      <protection hidden="1"/>
    </xf>
    <xf numFmtId="4" fontId="17" fillId="0" borderId="0" xfId="2" applyNumberFormat="1" applyFont="1" applyBorder="1" applyAlignment="1" applyProtection="1">
      <alignment horizontal="center" vertical="center"/>
      <protection hidden="1"/>
    </xf>
    <xf numFmtId="4" fontId="17" fillId="0" borderId="10" xfId="2" applyNumberFormat="1" applyFont="1" applyBorder="1" applyAlignment="1" applyProtection="1">
      <alignment horizontal="center" vertical="center"/>
      <protection hidden="1"/>
    </xf>
    <xf numFmtId="4" fontId="17" fillId="14" borderId="0" xfId="0" applyNumberFormat="1" applyFont="1" applyFill="1" applyAlignment="1" applyProtection="1">
      <alignment horizontal="center" vertical="center" wrapText="1"/>
      <protection hidden="1"/>
    </xf>
    <xf numFmtId="4" fontId="17" fillId="6" borderId="4" xfId="0" applyNumberFormat="1" applyFont="1" applyFill="1" applyBorder="1" applyAlignment="1" applyProtection="1">
      <alignment horizontal="center" vertical="center" wrapText="1"/>
      <protection hidden="1"/>
    </xf>
    <xf numFmtId="4" fontId="17" fillId="6" borderId="0" xfId="0" applyNumberFormat="1" applyFont="1" applyFill="1" applyAlignment="1" applyProtection="1">
      <alignment horizontal="center" vertical="center" wrapText="1"/>
      <protection hidden="1"/>
    </xf>
    <xf numFmtId="4" fontId="17" fillId="0" borderId="0" xfId="1" applyNumberFormat="1" applyFont="1" applyBorder="1" applyAlignment="1" applyProtection="1">
      <alignment horizontal="center" vertical="center" wrapText="1"/>
      <protection hidden="1"/>
    </xf>
    <xf numFmtId="4" fontId="17" fillId="0" borderId="0" xfId="0" applyNumberFormat="1" applyFont="1" applyAlignment="1" applyProtection="1">
      <alignment horizontal="center" vertical="center"/>
      <protection hidden="1"/>
    </xf>
    <xf numFmtId="14" fontId="17" fillId="15" borderId="4" xfId="0" applyNumberFormat="1" applyFont="1" applyFill="1" applyBorder="1" applyAlignment="1" applyProtection="1">
      <alignment horizontal="center" vertical="center" wrapText="1"/>
      <protection hidden="1"/>
    </xf>
    <xf numFmtId="14" fontId="17" fillId="15" borderId="0" xfId="0" applyNumberFormat="1" applyFont="1" applyFill="1" applyAlignment="1" applyProtection="1">
      <alignment horizontal="center" vertical="center" wrapText="1"/>
      <protection hidden="1"/>
    </xf>
    <xf numFmtId="4" fontId="17" fillId="15" borderId="4" xfId="0" applyNumberFormat="1" applyFont="1" applyFill="1" applyBorder="1" applyAlignment="1" applyProtection="1">
      <alignment horizontal="center" vertical="center" wrapText="1"/>
      <protection hidden="1"/>
    </xf>
    <xf numFmtId="4" fontId="17" fillId="15" borderId="0" xfId="0" applyNumberFormat="1" applyFont="1" applyFill="1" applyAlignment="1" applyProtection="1">
      <alignment horizontal="center" vertical="center" wrapText="1"/>
      <protection hidden="1"/>
    </xf>
    <xf numFmtId="4" fontId="17" fillId="0" borderId="10" xfId="0" applyNumberFormat="1" applyFont="1" applyBorder="1" applyAlignment="1" applyProtection="1">
      <alignment horizontal="center" vertical="center"/>
      <protection hidden="1"/>
    </xf>
    <xf numFmtId="14" fontId="17" fillId="14" borderId="0" xfId="0" applyNumberFormat="1" applyFont="1" applyFill="1" applyAlignment="1" applyProtection="1">
      <alignment horizontal="center" vertical="center" wrapText="1"/>
      <protection hidden="1"/>
    </xf>
    <xf numFmtId="4" fontId="17" fillId="7" borderId="0" xfId="0" applyNumberFormat="1" applyFont="1" applyFill="1" applyAlignment="1" applyProtection="1">
      <alignment horizontal="center" vertical="center" wrapText="1"/>
      <protection hidden="1"/>
    </xf>
    <xf numFmtId="0" fontId="9" fillId="2" borderId="6" xfId="0" applyFont="1" applyFill="1" applyBorder="1" applyAlignment="1" applyProtection="1">
      <alignment horizontal="center" vertical="center" wrapText="1"/>
      <protection hidden="1"/>
    </xf>
    <xf numFmtId="0" fontId="9" fillId="2" borderId="7" xfId="0" applyFont="1" applyFill="1" applyBorder="1" applyAlignment="1" applyProtection="1">
      <alignment horizontal="center" vertical="center" wrapText="1"/>
      <protection hidden="1"/>
    </xf>
    <xf numFmtId="4" fontId="18" fillId="11" borderId="0" xfId="0" applyNumberFormat="1" applyFont="1" applyFill="1" applyAlignment="1" applyProtection="1">
      <alignment horizontal="center" vertical="center"/>
      <protection locked="0"/>
    </xf>
    <xf numFmtId="4" fontId="17" fillId="0" borderId="4" xfId="0" applyNumberFormat="1" applyFont="1" applyBorder="1" applyAlignment="1" applyProtection="1">
      <alignment horizontal="center" vertical="center" wrapText="1"/>
      <protection hidden="1"/>
    </xf>
    <xf numFmtId="4" fontId="17" fillId="0" borderId="0" xfId="0" applyNumberFormat="1" applyFont="1" applyAlignment="1" applyProtection="1">
      <alignment horizontal="center" vertical="center" wrapText="1"/>
      <protection hidden="1"/>
    </xf>
    <xf numFmtId="4" fontId="19" fillId="13" borderId="0" xfId="0" applyNumberFormat="1" applyFont="1" applyFill="1" applyAlignment="1" applyProtection="1">
      <alignment horizontal="center" vertical="center"/>
      <protection hidden="1"/>
    </xf>
    <xf numFmtId="4" fontId="19" fillId="13" borderId="10" xfId="0" applyNumberFormat="1" applyFont="1" applyFill="1" applyBorder="1" applyAlignment="1" applyProtection="1">
      <alignment horizontal="center" vertical="center"/>
      <protection hidden="1"/>
    </xf>
    <xf numFmtId="14" fontId="17" fillId="15" borderId="3" xfId="0" applyNumberFormat="1" applyFont="1" applyFill="1" applyBorder="1" applyAlignment="1" applyProtection="1">
      <alignment horizontal="center" vertical="center" wrapText="1"/>
      <protection hidden="1"/>
    </xf>
    <xf numFmtId="14" fontId="17" fillId="15" borderId="17" xfId="0" applyNumberFormat="1" applyFont="1" applyFill="1" applyBorder="1" applyAlignment="1" applyProtection="1">
      <alignment horizontal="center" vertical="center" wrapText="1"/>
      <protection hidden="1"/>
    </xf>
    <xf numFmtId="14" fontId="17" fillId="15" borderId="12" xfId="0" applyNumberFormat="1" applyFont="1" applyFill="1" applyBorder="1" applyAlignment="1" applyProtection="1">
      <alignment horizontal="center" vertical="center" wrapText="1"/>
      <protection hidden="1"/>
    </xf>
    <xf numFmtId="14" fontId="17" fillId="15" borderId="28" xfId="0" applyNumberFormat="1" applyFont="1" applyFill="1" applyBorder="1" applyAlignment="1" applyProtection="1">
      <alignment horizontal="center" vertical="center" wrapText="1"/>
      <protection hidden="1"/>
    </xf>
    <xf numFmtId="14" fontId="17" fillId="15" borderId="18" xfId="0" applyNumberFormat="1" applyFont="1" applyFill="1" applyBorder="1" applyAlignment="1" applyProtection="1">
      <alignment horizontal="center" vertical="center" wrapText="1"/>
      <protection hidden="1"/>
    </xf>
    <xf numFmtId="14" fontId="17" fillId="15" borderId="29" xfId="0" applyNumberFormat="1" applyFont="1" applyFill="1" applyBorder="1" applyAlignment="1" applyProtection="1">
      <alignment horizontal="center" vertical="center" wrapText="1"/>
      <protection hidden="1"/>
    </xf>
    <xf numFmtId="14" fontId="17" fillId="15" borderId="16" xfId="0" applyNumberFormat="1" applyFont="1" applyFill="1" applyBorder="1" applyAlignment="1" applyProtection="1">
      <alignment horizontal="center" vertical="center" wrapText="1"/>
      <protection hidden="1"/>
    </xf>
    <xf numFmtId="14" fontId="17" fillId="15" borderId="25" xfId="0" applyNumberFormat="1" applyFont="1" applyFill="1" applyBorder="1" applyAlignment="1" applyProtection="1">
      <alignment horizontal="center" vertical="center" wrapText="1"/>
      <protection hidden="1"/>
    </xf>
    <xf numFmtId="14" fontId="17" fillId="15" borderId="26" xfId="0" applyNumberFormat="1" applyFont="1" applyFill="1" applyBorder="1" applyAlignment="1" applyProtection="1">
      <alignment horizontal="center" vertical="center" wrapText="1"/>
      <protection hidden="1"/>
    </xf>
    <xf numFmtId="4" fontId="17" fillId="15" borderId="16" xfId="0" applyNumberFormat="1" applyFont="1" applyFill="1" applyBorder="1" applyAlignment="1" applyProtection="1">
      <alignment horizontal="center" vertical="center" wrapText="1"/>
      <protection hidden="1"/>
    </xf>
    <xf numFmtId="4" fontId="17" fillId="15" borderId="17" xfId="0" applyNumberFormat="1" applyFont="1" applyFill="1" applyBorder="1" applyAlignment="1" applyProtection="1">
      <alignment horizontal="center" vertical="center" wrapText="1"/>
      <protection hidden="1"/>
    </xf>
    <xf numFmtId="4" fontId="17" fillId="15" borderId="25" xfId="0" applyNumberFormat="1" applyFont="1" applyFill="1" applyBorder="1" applyAlignment="1" applyProtection="1">
      <alignment horizontal="center" vertical="center" wrapText="1"/>
      <protection hidden="1"/>
    </xf>
    <xf numFmtId="4" fontId="17" fillId="15" borderId="28" xfId="0" applyNumberFormat="1" applyFont="1" applyFill="1" applyBorder="1" applyAlignment="1" applyProtection="1">
      <alignment horizontal="center" vertical="center" wrapText="1"/>
      <protection hidden="1"/>
    </xf>
    <xf numFmtId="4" fontId="17" fillId="15" borderId="26" xfId="0" applyNumberFormat="1" applyFont="1" applyFill="1" applyBorder="1" applyAlignment="1" applyProtection="1">
      <alignment horizontal="center" vertical="center" wrapText="1"/>
      <protection hidden="1"/>
    </xf>
    <xf numFmtId="4" fontId="17" fillId="15" borderId="27" xfId="0" applyNumberFormat="1" applyFont="1" applyFill="1" applyBorder="1" applyAlignment="1" applyProtection="1">
      <alignment horizontal="center" vertical="center" wrapText="1"/>
      <protection hidden="1"/>
    </xf>
    <xf numFmtId="4" fontId="17" fillId="15" borderId="29" xfId="0" applyNumberFormat="1" applyFont="1" applyFill="1" applyBorder="1" applyAlignment="1" applyProtection="1">
      <alignment horizontal="center" vertical="center" wrapText="1"/>
      <protection hidden="1"/>
    </xf>
    <xf numFmtId="4" fontId="17" fillId="15" borderId="5" xfId="0" applyNumberFormat="1" applyFont="1" applyFill="1" applyBorder="1" applyAlignment="1" applyProtection="1">
      <alignment horizontal="center" vertical="center" wrapText="1"/>
      <protection hidden="1"/>
    </xf>
    <xf numFmtId="4" fontId="17" fillId="15" borderId="13" xfId="0" applyNumberFormat="1" applyFont="1" applyFill="1" applyBorder="1" applyAlignment="1" applyProtection="1">
      <alignment horizontal="center" vertical="center" wrapText="1"/>
      <protection hidden="1"/>
    </xf>
    <xf numFmtId="4" fontId="17" fillId="15" borderId="30" xfId="0" applyNumberFormat="1" applyFont="1" applyFill="1" applyBorder="1" applyAlignment="1" applyProtection="1">
      <alignment horizontal="center" vertical="center" wrapText="1"/>
      <protection hidden="1"/>
    </xf>
    <xf numFmtId="4" fontId="17" fillId="6" borderId="3" xfId="0" applyNumberFormat="1" applyFont="1" applyFill="1" applyBorder="1" applyAlignment="1" applyProtection="1">
      <alignment horizontal="center" vertical="center" wrapText="1"/>
      <protection hidden="1"/>
    </xf>
    <xf numFmtId="4" fontId="17" fillId="6" borderId="5" xfId="0" applyNumberFormat="1" applyFont="1" applyFill="1" applyBorder="1" applyAlignment="1" applyProtection="1">
      <alignment horizontal="center" vertical="center" wrapText="1"/>
      <protection hidden="1"/>
    </xf>
    <xf numFmtId="4" fontId="17" fillId="6" borderId="12" xfId="0" applyNumberFormat="1" applyFont="1" applyFill="1" applyBorder="1" applyAlignment="1" applyProtection="1">
      <alignment horizontal="center" vertical="center" wrapText="1"/>
      <protection hidden="1"/>
    </xf>
    <xf numFmtId="4" fontId="17" fillId="6" borderId="13" xfId="0" applyNumberFormat="1" applyFont="1" applyFill="1" applyBorder="1" applyAlignment="1" applyProtection="1">
      <alignment horizontal="center" vertical="center" wrapText="1"/>
      <protection hidden="1"/>
    </xf>
    <xf numFmtId="4" fontId="17" fillId="6" borderId="17" xfId="0" applyNumberFormat="1" applyFont="1" applyFill="1" applyBorder="1" applyAlignment="1" applyProtection="1">
      <alignment horizontal="center" vertical="center" wrapText="1"/>
      <protection hidden="1"/>
    </xf>
    <xf numFmtId="4" fontId="17" fillId="6" borderId="28" xfId="0" applyNumberFormat="1" applyFont="1" applyFill="1" applyBorder="1" applyAlignment="1" applyProtection="1">
      <alignment horizontal="center" vertical="center" wrapText="1"/>
      <protection hidden="1"/>
    </xf>
    <xf numFmtId="4" fontId="17" fillId="6" borderId="18" xfId="0" applyNumberFormat="1" applyFont="1" applyFill="1" applyBorder="1" applyAlignment="1" applyProtection="1">
      <alignment horizontal="center" vertical="center" wrapText="1"/>
      <protection hidden="1"/>
    </xf>
    <xf numFmtId="4" fontId="17" fillId="6" borderId="29" xfId="0" applyNumberFormat="1" applyFont="1" applyFill="1" applyBorder="1" applyAlignment="1" applyProtection="1">
      <alignment horizontal="center" vertical="center" wrapText="1"/>
      <protection hidden="1"/>
    </xf>
    <xf numFmtId="4" fontId="17" fillId="0" borderId="16" xfId="0" applyNumberFormat="1" applyFont="1" applyBorder="1" applyAlignment="1" applyProtection="1">
      <alignment horizontal="center" vertical="center" wrapText="1"/>
      <protection hidden="1"/>
    </xf>
    <xf numFmtId="4" fontId="17" fillId="0" borderId="5" xfId="0" applyNumberFormat="1" applyFont="1" applyBorder="1" applyAlignment="1" applyProtection="1">
      <alignment horizontal="center" vertical="center" wrapText="1"/>
      <protection hidden="1"/>
    </xf>
    <xf numFmtId="4" fontId="17" fillId="0" borderId="25" xfId="0" applyNumberFormat="1" applyFont="1" applyBorder="1" applyAlignment="1" applyProtection="1">
      <alignment horizontal="center" vertical="center" wrapText="1"/>
      <protection hidden="1"/>
    </xf>
    <xf numFmtId="4" fontId="17" fillId="0" borderId="13" xfId="0" applyNumberFormat="1" applyFont="1" applyBorder="1" applyAlignment="1" applyProtection="1">
      <alignment horizontal="center" vertical="center" wrapText="1"/>
      <protection hidden="1"/>
    </xf>
    <xf numFmtId="4" fontId="17" fillId="0" borderId="21" xfId="0" applyNumberFormat="1" applyFont="1" applyBorder="1" applyAlignment="1" applyProtection="1">
      <alignment horizontal="center" vertical="center" wrapText="1"/>
      <protection hidden="1"/>
    </xf>
    <xf numFmtId="4" fontId="17" fillId="0" borderId="11" xfId="0" applyNumberFormat="1" applyFont="1" applyBorder="1" applyAlignment="1" applyProtection="1">
      <alignment horizontal="center" vertical="center" wrapText="1"/>
      <protection hidden="1"/>
    </xf>
    <xf numFmtId="4" fontId="17" fillId="0" borderId="1" xfId="0" applyNumberFormat="1" applyFont="1" applyBorder="1" applyAlignment="1" applyProtection="1">
      <alignment horizontal="center" vertical="center"/>
      <protection hidden="1"/>
    </xf>
    <xf numFmtId="4" fontId="17" fillId="0" borderId="20" xfId="0" applyNumberFormat="1" applyFont="1" applyBorder="1" applyAlignment="1" applyProtection="1">
      <alignment horizontal="center" vertical="center"/>
      <protection hidden="1"/>
    </xf>
    <xf numFmtId="4" fontId="17" fillId="0" borderId="21" xfId="0" applyNumberFormat="1" applyFont="1" applyBorder="1" applyAlignment="1" applyProtection="1">
      <alignment horizontal="center" vertical="center"/>
      <protection hidden="1"/>
    </xf>
    <xf numFmtId="4" fontId="17" fillId="0" borderId="11" xfId="0" applyNumberFormat="1" applyFont="1" applyBorder="1" applyAlignment="1" applyProtection="1">
      <alignment horizontal="center" vertical="center"/>
      <protection hidden="1"/>
    </xf>
    <xf numFmtId="4" fontId="19" fillId="13" borderId="1" xfId="0" applyNumberFormat="1" applyFont="1" applyFill="1" applyBorder="1" applyAlignment="1" applyProtection="1">
      <alignment horizontal="center" vertical="center"/>
      <protection hidden="1"/>
    </xf>
    <xf numFmtId="4" fontId="19" fillId="13" borderId="2" xfId="0" applyNumberFormat="1" applyFont="1" applyFill="1" applyBorder="1" applyAlignment="1" applyProtection="1">
      <alignment horizontal="center" vertical="center"/>
      <protection hidden="1"/>
    </xf>
    <xf numFmtId="4" fontId="19" fillId="13" borderId="21" xfId="0" applyNumberFormat="1" applyFont="1" applyFill="1" applyBorder="1" applyAlignment="1" applyProtection="1">
      <alignment horizontal="center" vertical="center"/>
      <protection hidden="1"/>
    </xf>
    <xf numFmtId="4" fontId="19" fillId="13" borderId="15" xfId="0" applyNumberFormat="1" applyFont="1" applyFill="1" applyBorder="1" applyAlignment="1" applyProtection="1">
      <alignment horizontal="center" vertical="center"/>
      <protection hidden="1"/>
    </xf>
    <xf numFmtId="4" fontId="17" fillId="7" borderId="3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17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12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28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18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29" xfId="0" applyNumberFormat="1" applyFont="1" applyFill="1" applyBorder="1" applyAlignment="1" applyProtection="1">
      <alignment horizontal="center" vertical="center" wrapText="1"/>
      <protection hidden="1"/>
    </xf>
    <xf numFmtId="4" fontId="17" fillId="6" borderId="16" xfId="0" applyNumberFormat="1" applyFont="1" applyFill="1" applyBorder="1" applyAlignment="1" applyProtection="1">
      <alignment horizontal="center" vertical="center" wrapText="1"/>
      <protection hidden="1"/>
    </xf>
    <xf numFmtId="4" fontId="17" fillId="6" borderId="25" xfId="0" applyNumberFormat="1" applyFont="1" applyFill="1" applyBorder="1" applyAlignment="1" applyProtection="1">
      <alignment horizontal="center" vertical="center" wrapText="1"/>
      <protection hidden="1"/>
    </xf>
    <xf numFmtId="4" fontId="17" fillId="6" borderId="26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1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2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26" xfId="0" applyNumberFormat="1" applyFont="1" applyFill="1" applyBorder="1" applyAlignment="1" applyProtection="1">
      <alignment horizontal="center" vertical="center" wrapText="1"/>
      <protection hidden="1"/>
    </xf>
    <xf numFmtId="9" fontId="12" fillId="0" borderId="1" xfId="2" applyFont="1" applyBorder="1" applyAlignment="1" applyProtection="1">
      <alignment horizontal="center" vertical="center"/>
      <protection hidden="1"/>
    </xf>
    <xf numFmtId="9" fontId="12" fillId="0" borderId="14" xfId="2" applyFont="1" applyBorder="1" applyAlignment="1" applyProtection="1">
      <alignment horizontal="center" vertical="center"/>
      <protection hidden="1"/>
    </xf>
    <xf numFmtId="9" fontId="12" fillId="0" borderId="2" xfId="2" applyFont="1" applyBorder="1" applyAlignment="1" applyProtection="1">
      <alignment horizontal="center" vertical="center"/>
      <protection hidden="1"/>
    </xf>
    <xf numFmtId="9" fontId="12" fillId="0" borderId="21" xfId="2" applyFont="1" applyBorder="1" applyAlignment="1" applyProtection="1">
      <alignment horizontal="center" vertical="center"/>
      <protection hidden="1"/>
    </xf>
    <xf numFmtId="9" fontId="12" fillId="0" borderId="15" xfId="2" applyFont="1" applyBorder="1" applyAlignment="1" applyProtection="1">
      <alignment horizontal="center" vertical="center"/>
      <protection hidden="1"/>
    </xf>
    <xf numFmtId="4" fontId="17" fillId="0" borderId="2" xfId="0" applyNumberFormat="1" applyFont="1" applyBorder="1" applyAlignment="1" applyProtection="1">
      <alignment horizontal="center" vertical="center"/>
      <protection hidden="1"/>
    </xf>
    <xf numFmtId="4" fontId="17" fillId="0" borderId="15" xfId="0" applyNumberFormat="1" applyFont="1" applyBorder="1" applyAlignment="1" applyProtection="1">
      <alignment horizontal="center" vertical="center"/>
      <protection hidden="1"/>
    </xf>
    <xf numFmtId="4" fontId="17" fillId="0" borderId="19" xfId="0" applyNumberFormat="1" applyFont="1" applyBorder="1" applyAlignment="1" applyProtection="1">
      <alignment horizontal="center" vertical="center"/>
      <protection hidden="1"/>
    </xf>
    <xf numFmtId="4" fontId="17" fillId="0" borderId="9" xfId="0" applyNumberFormat="1" applyFont="1" applyBorder="1" applyAlignment="1" applyProtection="1">
      <alignment horizontal="center" vertical="center"/>
      <protection hidden="1"/>
    </xf>
    <xf numFmtId="4" fontId="17" fillId="0" borderId="1" xfId="2" applyNumberFormat="1" applyFont="1" applyBorder="1" applyAlignment="1" applyProtection="1">
      <alignment horizontal="center" vertical="center"/>
      <protection hidden="1"/>
    </xf>
    <xf numFmtId="4" fontId="17" fillId="0" borderId="20" xfId="2" applyNumberFormat="1" applyFont="1" applyBorder="1" applyAlignment="1" applyProtection="1">
      <alignment horizontal="center" vertical="center"/>
      <protection hidden="1"/>
    </xf>
    <xf numFmtId="4" fontId="17" fillId="0" borderId="21" xfId="2" applyNumberFormat="1" applyFont="1" applyBorder="1" applyAlignment="1" applyProtection="1">
      <alignment horizontal="center" vertical="center"/>
      <protection hidden="1"/>
    </xf>
    <xf numFmtId="4" fontId="17" fillId="0" borderId="11" xfId="2" applyNumberFormat="1" applyFont="1" applyBorder="1" applyAlignment="1" applyProtection="1">
      <alignment horizontal="center" vertical="center"/>
      <protection hidden="1"/>
    </xf>
    <xf numFmtId="0" fontId="12" fillId="16" borderId="4" xfId="0" applyFont="1" applyFill="1" applyBorder="1" applyAlignment="1" applyProtection="1">
      <alignment horizontal="center" vertical="center" wrapText="1"/>
      <protection hidden="1"/>
    </xf>
    <xf numFmtId="0" fontId="12" fillId="16" borderId="5" xfId="0" applyFont="1" applyFill="1" applyBorder="1" applyAlignment="1" applyProtection="1">
      <alignment horizontal="center" vertical="center" wrapText="1"/>
      <protection hidden="1"/>
    </xf>
    <xf numFmtId="4" fontId="18" fillId="11" borderId="1" xfId="0" applyNumberFormat="1" applyFont="1" applyFill="1" applyBorder="1" applyAlignment="1" applyProtection="1">
      <alignment horizontal="center" vertical="center"/>
      <protection locked="0"/>
    </xf>
    <xf numFmtId="4" fontId="18" fillId="11" borderId="2" xfId="0" applyNumberFormat="1" applyFont="1" applyFill="1" applyBorder="1" applyAlignment="1" applyProtection="1">
      <alignment horizontal="center" vertical="center"/>
      <protection locked="0"/>
    </xf>
    <xf numFmtId="4" fontId="18" fillId="11" borderId="21" xfId="0" applyNumberFormat="1" applyFont="1" applyFill="1" applyBorder="1" applyAlignment="1" applyProtection="1">
      <alignment horizontal="center" vertical="center"/>
      <protection locked="0"/>
    </xf>
    <xf numFmtId="4" fontId="18" fillId="11" borderId="15" xfId="0" applyNumberFormat="1" applyFont="1" applyFill="1" applyBorder="1" applyAlignment="1" applyProtection="1">
      <alignment horizontal="center" vertical="center"/>
      <protection locked="0"/>
    </xf>
    <xf numFmtId="4" fontId="17" fillId="7" borderId="16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25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5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13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30" xfId="0" applyNumberFormat="1" applyFont="1" applyFill="1" applyBorder="1" applyAlignment="1" applyProtection="1">
      <alignment horizontal="center" vertical="center" wrapText="1"/>
      <protection hidden="1"/>
    </xf>
    <xf numFmtId="14" fontId="17" fillId="14" borderId="3" xfId="0" applyNumberFormat="1" applyFont="1" applyFill="1" applyBorder="1" applyAlignment="1" applyProtection="1">
      <alignment horizontal="center" vertical="center" wrapText="1"/>
      <protection hidden="1"/>
    </xf>
    <xf numFmtId="14" fontId="17" fillId="14" borderId="17" xfId="0" applyNumberFormat="1" applyFont="1" applyFill="1" applyBorder="1" applyAlignment="1" applyProtection="1">
      <alignment horizontal="center" vertical="center" wrapText="1"/>
      <protection hidden="1"/>
    </xf>
    <xf numFmtId="14" fontId="17" fillId="14" borderId="12" xfId="0" applyNumberFormat="1" applyFont="1" applyFill="1" applyBorder="1" applyAlignment="1" applyProtection="1">
      <alignment horizontal="center" vertical="center" wrapText="1"/>
      <protection hidden="1"/>
    </xf>
    <xf numFmtId="14" fontId="17" fillId="14" borderId="28" xfId="0" applyNumberFormat="1" applyFont="1" applyFill="1" applyBorder="1" applyAlignment="1" applyProtection="1">
      <alignment horizontal="center" vertical="center" wrapText="1"/>
      <protection hidden="1"/>
    </xf>
    <xf numFmtId="14" fontId="17" fillId="14" borderId="18" xfId="0" applyNumberFormat="1" applyFont="1" applyFill="1" applyBorder="1" applyAlignment="1" applyProtection="1">
      <alignment horizontal="center" vertical="center" wrapText="1"/>
      <protection hidden="1"/>
    </xf>
    <xf numFmtId="14" fontId="17" fillId="14" borderId="29" xfId="0" applyNumberFormat="1" applyFont="1" applyFill="1" applyBorder="1" applyAlignment="1" applyProtection="1">
      <alignment horizontal="center" vertical="center" wrapText="1"/>
      <protection hidden="1"/>
    </xf>
    <xf numFmtId="14" fontId="17" fillId="14" borderId="16" xfId="0" applyNumberFormat="1" applyFont="1" applyFill="1" applyBorder="1" applyAlignment="1" applyProtection="1">
      <alignment horizontal="center" vertical="center" wrapText="1"/>
      <protection hidden="1"/>
    </xf>
    <xf numFmtId="14" fontId="17" fillId="14" borderId="25" xfId="0" applyNumberFormat="1" applyFont="1" applyFill="1" applyBorder="1" applyAlignment="1" applyProtection="1">
      <alignment horizontal="center" vertical="center" wrapText="1"/>
      <protection hidden="1"/>
    </xf>
    <xf numFmtId="14" fontId="17" fillId="14" borderId="26" xfId="0" applyNumberFormat="1" applyFont="1" applyFill="1" applyBorder="1" applyAlignment="1" applyProtection="1">
      <alignment horizontal="center" vertical="center" wrapText="1"/>
      <protection hidden="1"/>
    </xf>
    <xf numFmtId="14" fontId="17" fillId="14" borderId="4" xfId="0" applyNumberFormat="1" applyFont="1" applyFill="1" applyBorder="1" applyAlignment="1" applyProtection="1">
      <alignment horizontal="center" vertical="center" wrapText="1"/>
      <protection hidden="1"/>
    </xf>
    <xf numFmtId="14" fontId="17" fillId="14" borderId="27" xfId="0" applyNumberFormat="1" applyFont="1" applyFill="1" applyBorder="1" applyAlignment="1" applyProtection="1">
      <alignment horizontal="center" vertical="center" wrapText="1"/>
      <protection hidden="1"/>
    </xf>
    <xf numFmtId="4" fontId="17" fillId="14" borderId="16" xfId="0" applyNumberFormat="1" applyFont="1" applyFill="1" applyBorder="1" applyAlignment="1" applyProtection="1">
      <alignment horizontal="center" vertical="center" wrapText="1"/>
      <protection hidden="1"/>
    </xf>
    <xf numFmtId="4" fontId="17" fillId="14" borderId="4" xfId="0" applyNumberFormat="1" applyFont="1" applyFill="1" applyBorder="1" applyAlignment="1" applyProtection="1">
      <alignment horizontal="center" vertical="center" wrapText="1"/>
      <protection hidden="1"/>
    </xf>
    <xf numFmtId="4" fontId="17" fillId="14" borderId="17" xfId="0" applyNumberFormat="1" applyFont="1" applyFill="1" applyBorder="1" applyAlignment="1" applyProtection="1">
      <alignment horizontal="center" vertical="center" wrapText="1"/>
      <protection hidden="1"/>
    </xf>
    <xf numFmtId="4" fontId="17" fillId="14" borderId="25" xfId="0" applyNumberFormat="1" applyFont="1" applyFill="1" applyBorder="1" applyAlignment="1" applyProtection="1">
      <alignment horizontal="center" vertical="center" wrapText="1"/>
      <protection hidden="1"/>
    </xf>
    <xf numFmtId="4" fontId="17" fillId="14" borderId="28" xfId="0" applyNumberFormat="1" applyFont="1" applyFill="1" applyBorder="1" applyAlignment="1" applyProtection="1">
      <alignment horizontal="center" vertical="center" wrapText="1"/>
      <protection hidden="1"/>
    </xf>
    <xf numFmtId="4" fontId="17" fillId="14" borderId="26" xfId="0" applyNumberFormat="1" applyFont="1" applyFill="1" applyBorder="1" applyAlignment="1" applyProtection="1">
      <alignment horizontal="center" vertical="center" wrapText="1"/>
      <protection hidden="1"/>
    </xf>
    <xf numFmtId="4" fontId="17" fillId="14" borderId="27" xfId="0" applyNumberFormat="1" applyFont="1" applyFill="1" applyBorder="1" applyAlignment="1" applyProtection="1">
      <alignment horizontal="center" vertical="center" wrapText="1"/>
      <protection hidden="1"/>
    </xf>
    <xf numFmtId="4" fontId="17" fillId="14" borderId="29" xfId="0" applyNumberFormat="1" applyFont="1" applyFill="1" applyBorder="1" applyAlignment="1" applyProtection="1">
      <alignment horizontal="center" vertical="center" wrapText="1"/>
      <protection hidden="1"/>
    </xf>
    <xf numFmtId="4" fontId="17" fillId="14" borderId="5" xfId="0" applyNumberFormat="1" applyFont="1" applyFill="1" applyBorder="1" applyAlignment="1" applyProtection="1">
      <alignment horizontal="center" vertical="center" wrapText="1"/>
      <protection hidden="1"/>
    </xf>
    <xf numFmtId="4" fontId="17" fillId="14" borderId="13" xfId="0" applyNumberFormat="1" applyFont="1" applyFill="1" applyBorder="1" applyAlignment="1" applyProtection="1">
      <alignment horizontal="center" vertical="center" wrapText="1"/>
      <protection hidden="1"/>
    </xf>
    <xf numFmtId="4" fontId="17" fillId="14" borderId="30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9" xfId="0" applyNumberFormat="1" applyFont="1" applyFill="1" applyBorder="1" applyAlignment="1" applyProtection="1">
      <alignment horizontal="center" vertical="center" wrapText="1"/>
      <protection hidden="1"/>
    </xf>
    <xf numFmtId="4" fontId="17" fillId="7" borderId="11" xfId="0" applyNumberFormat="1" applyFont="1" applyFill="1" applyBorder="1" applyAlignment="1" applyProtection="1">
      <alignment horizontal="center" vertical="center" wrapText="1"/>
      <protection hidden="1"/>
    </xf>
    <xf numFmtId="4" fontId="17" fillId="0" borderId="19" xfId="1" applyNumberFormat="1" applyFont="1" applyBorder="1" applyAlignment="1" applyProtection="1">
      <alignment horizontal="center" vertical="center" wrapText="1"/>
      <protection hidden="1"/>
    </xf>
    <xf numFmtId="4" fontId="17" fillId="0" borderId="2" xfId="1" applyNumberFormat="1" applyFont="1" applyBorder="1" applyAlignment="1" applyProtection="1">
      <alignment horizontal="center" vertical="center" wrapText="1"/>
      <protection hidden="1"/>
    </xf>
    <xf numFmtId="4" fontId="17" fillId="0" borderId="9" xfId="1" applyNumberFormat="1" applyFont="1" applyBorder="1" applyAlignment="1" applyProtection="1">
      <alignment horizontal="center" vertical="center" wrapText="1"/>
      <protection hidden="1"/>
    </xf>
    <xf numFmtId="4" fontId="17" fillId="0" borderId="15" xfId="1" applyNumberFormat="1" applyFont="1" applyBorder="1" applyAlignment="1" applyProtection="1">
      <alignment horizontal="center" vertical="center" wrapText="1"/>
      <protection hidden="1"/>
    </xf>
    <xf numFmtId="9" fontId="17" fillId="0" borderId="1" xfId="2" applyFont="1" applyBorder="1" applyAlignment="1" applyProtection="1">
      <alignment horizontal="center" vertical="center"/>
      <protection hidden="1"/>
    </xf>
    <xf numFmtId="9" fontId="17" fillId="0" borderId="14" xfId="2" applyFont="1" applyBorder="1" applyAlignment="1" applyProtection="1">
      <alignment horizontal="center" vertical="center"/>
      <protection hidden="1"/>
    </xf>
    <xf numFmtId="9" fontId="17" fillId="0" borderId="2" xfId="2" applyFont="1" applyBorder="1" applyAlignment="1" applyProtection="1">
      <alignment horizontal="center" vertical="center"/>
      <protection hidden="1"/>
    </xf>
    <xf numFmtId="9" fontId="17" fillId="0" borderId="21" xfId="2" applyFont="1" applyBorder="1" applyAlignment="1" applyProtection="1">
      <alignment horizontal="center" vertical="center"/>
      <protection hidden="1"/>
    </xf>
    <xf numFmtId="9" fontId="17" fillId="0" borderId="10" xfId="2" applyFont="1" applyBorder="1" applyAlignment="1" applyProtection="1">
      <alignment horizontal="center" vertical="center"/>
      <protection hidden="1"/>
    </xf>
    <xf numFmtId="9" fontId="17" fillId="0" borderId="15" xfId="2" applyFont="1" applyBorder="1" applyAlignment="1" applyProtection="1">
      <alignment horizontal="center" vertical="center"/>
      <protection hidden="1"/>
    </xf>
    <xf numFmtId="9" fontId="17" fillId="0" borderId="20" xfId="2" applyFont="1" applyBorder="1" applyAlignment="1" applyProtection="1">
      <alignment horizontal="center" vertical="center"/>
      <protection hidden="1"/>
    </xf>
    <xf numFmtId="9" fontId="17" fillId="0" borderId="11" xfId="2" applyFont="1" applyBorder="1" applyAlignment="1" applyProtection="1">
      <alignment horizontal="center" vertical="center"/>
      <protection hidden="1"/>
    </xf>
    <xf numFmtId="4" fontId="18" fillId="11" borderId="14" xfId="0" applyNumberFormat="1" applyFont="1" applyFill="1" applyBorder="1" applyAlignment="1" applyProtection="1">
      <alignment horizontal="center" vertical="center"/>
      <protection locked="0"/>
    </xf>
    <xf numFmtId="4" fontId="18" fillId="11" borderId="1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hidden="1"/>
    </xf>
  </cellXfs>
  <cellStyles count="4">
    <cellStyle name="Gut" xfId="3" builtinId="26"/>
    <cellStyle name="Komma" xfId="1" builtinId="3"/>
    <cellStyle name="Prozent" xfId="2" builtinId="5"/>
    <cellStyle name="Standard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" name="Check Box 78">
          <a:extLst>
            <a:ext uri="{FF2B5EF4-FFF2-40B4-BE49-F238E27FC236}">
              <a16:creationId xmlns:a16="http://schemas.microsoft.com/office/drawing/2014/main" id="{8AD788F6-CA6F-4976-B41F-189C5A883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82275"/>
          <a:ext cx="0" cy="176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3" name="Check Box 78">
          <a:extLst>
            <a:ext uri="{FF2B5EF4-FFF2-40B4-BE49-F238E27FC236}">
              <a16:creationId xmlns:a16="http://schemas.microsoft.com/office/drawing/2014/main" id="{56DDB0AC-8F04-482F-9C08-4BFEB0EBF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82275"/>
          <a:ext cx="0" cy="176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" name="Check Box 78">
          <a:extLst>
            <a:ext uri="{FF2B5EF4-FFF2-40B4-BE49-F238E27FC236}">
              <a16:creationId xmlns:a16="http://schemas.microsoft.com/office/drawing/2014/main" id="{2C434B02-2232-48C8-B963-B0EF10188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82275"/>
          <a:ext cx="0" cy="176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" name="Check Box 78">
          <a:extLst>
            <a:ext uri="{FF2B5EF4-FFF2-40B4-BE49-F238E27FC236}">
              <a16:creationId xmlns:a16="http://schemas.microsoft.com/office/drawing/2014/main" id="{F2209DEE-DF0F-4B00-8603-716FCAAD8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82275"/>
          <a:ext cx="0" cy="176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" name="Check Box 78">
          <a:extLst>
            <a:ext uri="{FF2B5EF4-FFF2-40B4-BE49-F238E27FC236}">
              <a16:creationId xmlns:a16="http://schemas.microsoft.com/office/drawing/2014/main" id="{4BDE2FCA-E00A-478C-B35F-5780CA258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82275"/>
          <a:ext cx="0" cy="176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7" name="Check Box 78">
          <a:extLst>
            <a:ext uri="{FF2B5EF4-FFF2-40B4-BE49-F238E27FC236}">
              <a16:creationId xmlns:a16="http://schemas.microsoft.com/office/drawing/2014/main" id="{81B97FCE-B0A5-4439-AE31-C269E5220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82275"/>
          <a:ext cx="0" cy="176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8" name="Check Box 78">
          <a:extLst>
            <a:ext uri="{FF2B5EF4-FFF2-40B4-BE49-F238E27FC236}">
              <a16:creationId xmlns:a16="http://schemas.microsoft.com/office/drawing/2014/main" id="{E0CACD44-F650-455C-BE1A-62721E251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82275"/>
          <a:ext cx="0" cy="176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9" name="Check Box 78">
          <a:extLst>
            <a:ext uri="{FF2B5EF4-FFF2-40B4-BE49-F238E27FC236}">
              <a16:creationId xmlns:a16="http://schemas.microsoft.com/office/drawing/2014/main" id="{E76DE9B2-567A-418D-A65B-B029A7536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82275"/>
          <a:ext cx="0" cy="176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0" name="Check Box 78">
          <a:extLst>
            <a:ext uri="{FF2B5EF4-FFF2-40B4-BE49-F238E27FC236}">
              <a16:creationId xmlns:a16="http://schemas.microsoft.com/office/drawing/2014/main" id="{7047D602-20B8-43F6-B18E-1D1A917D4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82275"/>
          <a:ext cx="0" cy="176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1" name="Check Box 78">
          <a:extLst>
            <a:ext uri="{FF2B5EF4-FFF2-40B4-BE49-F238E27FC236}">
              <a16:creationId xmlns:a16="http://schemas.microsoft.com/office/drawing/2014/main" id="{3ACD5AC9-6F3D-48BC-8302-6C3480888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82275"/>
          <a:ext cx="0" cy="176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1105354</xdr:colOff>
      <xdr:row>8</xdr:row>
      <xdr:rowOff>63953</xdr:rowOff>
    </xdr:from>
    <xdr:to>
      <xdr:col>2</xdr:col>
      <xdr:colOff>1105354</xdr:colOff>
      <xdr:row>9</xdr:row>
      <xdr:rowOff>9071</xdr:rowOff>
    </xdr:to>
    <xdr:pic>
      <xdr:nvPicPr>
        <xdr:cNvPr id="12" name="Check Box 78">
          <a:extLst>
            <a:ext uri="{FF2B5EF4-FFF2-40B4-BE49-F238E27FC236}">
              <a16:creationId xmlns:a16="http://schemas.microsoft.com/office/drawing/2014/main" id="{E99BB525-57D2-441A-974E-004440DDF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4711" y="3211739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10</xdr:row>
      <xdr:rowOff>9525</xdr:rowOff>
    </xdr:from>
    <xdr:to>
      <xdr:col>2</xdr:col>
      <xdr:colOff>1066800</xdr:colOff>
      <xdr:row>10</xdr:row>
      <xdr:rowOff>190500</xdr:rowOff>
    </xdr:to>
    <xdr:pic>
      <xdr:nvPicPr>
        <xdr:cNvPr id="13" name="Check Box 78">
          <a:extLst>
            <a:ext uri="{FF2B5EF4-FFF2-40B4-BE49-F238E27FC236}">
              <a16:creationId xmlns:a16="http://schemas.microsoft.com/office/drawing/2014/main" id="{856E2375-D050-4CA8-A3D9-1710F4E4A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220325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10</xdr:row>
      <xdr:rowOff>9525</xdr:rowOff>
    </xdr:from>
    <xdr:to>
      <xdr:col>2</xdr:col>
      <xdr:colOff>1066800</xdr:colOff>
      <xdr:row>10</xdr:row>
      <xdr:rowOff>190500</xdr:rowOff>
    </xdr:to>
    <xdr:pic>
      <xdr:nvPicPr>
        <xdr:cNvPr id="14" name="Check Box 78">
          <a:extLst>
            <a:ext uri="{FF2B5EF4-FFF2-40B4-BE49-F238E27FC236}">
              <a16:creationId xmlns:a16="http://schemas.microsoft.com/office/drawing/2014/main" id="{F032D0C9-9169-4213-A7AE-8C10BE173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220325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10</xdr:row>
      <xdr:rowOff>9525</xdr:rowOff>
    </xdr:from>
    <xdr:to>
      <xdr:col>2</xdr:col>
      <xdr:colOff>1066800</xdr:colOff>
      <xdr:row>10</xdr:row>
      <xdr:rowOff>190500</xdr:rowOff>
    </xdr:to>
    <xdr:pic>
      <xdr:nvPicPr>
        <xdr:cNvPr id="15" name="Check Box 78">
          <a:extLst>
            <a:ext uri="{FF2B5EF4-FFF2-40B4-BE49-F238E27FC236}">
              <a16:creationId xmlns:a16="http://schemas.microsoft.com/office/drawing/2014/main" id="{12790CA4-A478-491E-97D5-73B60D0B0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220325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10</xdr:row>
      <xdr:rowOff>9525</xdr:rowOff>
    </xdr:from>
    <xdr:to>
      <xdr:col>2</xdr:col>
      <xdr:colOff>1066800</xdr:colOff>
      <xdr:row>10</xdr:row>
      <xdr:rowOff>190500</xdr:rowOff>
    </xdr:to>
    <xdr:pic>
      <xdr:nvPicPr>
        <xdr:cNvPr id="16" name="Check Box 78">
          <a:extLst>
            <a:ext uri="{FF2B5EF4-FFF2-40B4-BE49-F238E27FC236}">
              <a16:creationId xmlns:a16="http://schemas.microsoft.com/office/drawing/2014/main" id="{07FC4051-3D9A-4C24-A86D-08029C0CE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220325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10</xdr:row>
      <xdr:rowOff>9525</xdr:rowOff>
    </xdr:from>
    <xdr:to>
      <xdr:col>2</xdr:col>
      <xdr:colOff>1066800</xdr:colOff>
      <xdr:row>10</xdr:row>
      <xdr:rowOff>190500</xdr:rowOff>
    </xdr:to>
    <xdr:pic>
      <xdr:nvPicPr>
        <xdr:cNvPr id="17" name="Check Box 78">
          <a:extLst>
            <a:ext uri="{FF2B5EF4-FFF2-40B4-BE49-F238E27FC236}">
              <a16:creationId xmlns:a16="http://schemas.microsoft.com/office/drawing/2014/main" id="{B27E9C5C-6188-4646-80DC-824D4CEAB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220325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10</xdr:row>
      <xdr:rowOff>9525</xdr:rowOff>
    </xdr:from>
    <xdr:to>
      <xdr:col>2</xdr:col>
      <xdr:colOff>1066800</xdr:colOff>
      <xdr:row>10</xdr:row>
      <xdr:rowOff>190500</xdr:rowOff>
    </xdr:to>
    <xdr:pic>
      <xdr:nvPicPr>
        <xdr:cNvPr id="18" name="Check Box 78">
          <a:extLst>
            <a:ext uri="{FF2B5EF4-FFF2-40B4-BE49-F238E27FC236}">
              <a16:creationId xmlns:a16="http://schemas.microsoft.com/office/drawing/2014/main" id="{FD01C7E5-FC76-4212-B5F5-0F27C5AE5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220325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20</xdr:row>
      <xdr:rowOff>9525</xdr:rowOff>
    </xdr:from>
    <xdr:to>
      <xdr:col>2</xdr:col>
      <xdr:colOff>1066800</xdr:colOff>
      <xdr:row>20</xdr:row>
      <xdr:rowOff>190500</xdr:rowOff>
    </xdr:to>
    <xdr:pic>
      <xdr:nvPicPr>
        <xdr:cNvPr id="19" name="Check Box 78">
          <a:extLst>
            <a:ext uri="{FF2B5EF4-FFF2-40B4-BE49-F238E27FC236}">
              <a16:creationId xmlns:a16="http://schemas.microsoft.com/office/drawing/2014/main" id="{0D8BE30B-BCEC-47CC-9D5A-EC08FF3C0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415838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20</xdr:row>
      <xdr:rowOff>9525</xdr:rowOff>
    </xdr:from>
    <xdr:to>
      <xdr:col>2</xdr:col>
      <xdr:colOff>1066800</xdr:colOff>
      <xdr:row>20</xdr:row>
      <xdr:rowOff>190500</xdr:rowOff>
    </xdr:to>
    <xdr:pic>
      <xdr:nvPicPr>
        <xdr:cNvPr id="20" name="Check Box 78">
          <a:extLst>
            <a:ext uri="{FF2B5EF4-FFF2-40B4-BE49-F238E27FC236}">
              <a16:creationId xmlns:a16="http://schemas.microsoft.com/office/drawing/2014/main" id="{DAA69BCF-353C-4393-BDD3-712936ED3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415838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20</xdr:row>
      <xdr:rowOff>9525</xdr:rowOff>
    </xdr:from>
    <xdr:to>
      <xdr:col>2</xdr:col>
      <xdr:colOff>1066800</xdr:colOff>
      <xdr:row>20</xdr:row>
      <xdr:rowOff>190500</xdr:rowOff>
    </xdr:to>
    <xdr:pic>
      <xdr:nvPicPr>
        <xdr:cNvPr id="21" name="Check Box 78">
          <a:extLst>
            <a:ext uri="{FF2B5EF4-FFF2-40B4-BE49-F238E27FC236}">
              <a16:creationId xmlns:a16="http://schemas.microsoft.com/office/drawing/2014/main" id="{338BB25F-7EE4-4CA4-B02D-10C5F3E5E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415838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20</xdr:row>
      <xdr:rowOff>9525</xdr:rowOff>
    </xdr:from>
    <xdr:to>
      <xdr:col>2</xdr:col>
      <xdr:colOff>1066800</xdr:colOff>
      <xdr:row>20</xdr:row>
      <xdr:rowOff>190500</xdr:rowOff>
    </xdr:to>
    <xdr:pic>
      <xdr:nvPicPr>
        <xdr:cNvPr id="22" name="Check Box 78">
          <a:extLst>
            <a:ext uri="{FF2B5EF4-FFF2-40B4-BE49-F238E27FC236}">
              <a16:creationId xmlns:a16="http://schemas.microsoft.com/office/drawing/2014/main" id="{4F12B924-5EA5-4B91-A915-0A1E6691E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415838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20</xdr:row>
      <xdr:rowOff>9525</xdr:rowOff>
    </xdr:from>
    <xdr:to>
      <xdr:col>2</xdr:col>
      <xdr:colOff>1066800</xdr:colOff>
      <xdr:row>20</xdr:row>
      <xdr:rowOff>190500</xdr:rowOff>
    </xdr:to>
    <xdr:pic>
      <xdr:nvPicPr>
        <xdr:cNvPr id="23" name="Check Box 78">
          <a:extLst>
            <a:ext uri="{FF2B5EF4-FFF2-40B4-BE49-F238E27FC236}">
              <a16:creationId xmlns:a16="http://schemas.microsoft.com/office/drawing/2014/main" id="{4698F41F-B842-48B3-AF73-5A779C53E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415838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20</xdr:row>
      <xdr:rowOff>9525</xdr:rowOff>
    </xdr:from>
    <xdr:to>
      <xdr:col>2</xdr:col>
      <xdr:colOff>1066800</xdr:colOff>
      <xdr:row>20</xdr:row>
      <xdr:rowOff>190500</xdr:rowOff>
    </xdr:to>
    <xdr:pic>
      <xdr:nvPicPr>
        <xdr:cNvPr id="24" name="Check Box 78">
          <a:extLst>
            <a:ext uri="{FF2B5EF4-FFF2-40B4-BE49-F238E27FC236}">
              <a16:creationId xmlns:a16="http://schemas.microsoft.com/office/drawing/2014/main" id="{FD9B0FEB-8B2B-4F54-87D0-966577563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415838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20</xdr:row>
      <xdr:rowOff>9525</xdr:rowOff>
    </xdr:from>
    <xdr:to>
      <xdr:col>2</xdr:col>
      <xdr:colOff>1066800</xdr:colOff>
      <xdr:row>20</xdr:row>
      <xdr:rowOff>190500</xdr:rowOff>
    </xdr:to>
    <xdr:pic>
      <xdr:nvPicPr>
        <xdr:cNvPr id="25" name="Check Box 78">
          <a:extLst>
            <a:ext uri="{FF2B5EF4-FFF2-40B4-BE49-F238E27FC236}">
              <a16:creationId xmlns:a16="http://schemas.microsoft.com/office/drawing/2014/main" id="{D32416DF-FC85-43C4-AA09-93BEAA965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415838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20</xdr:row>
      <xdr:rowOff>9525</xdr:rowOff>
    </xdr:from>
    <xdr:to>
      <xdr:col>2</xdr:col>
      <xdr:colOff>1066800</xdr:colOff>
      <xdr:row>20</xdr:row>
      <xdr:rowOff>190500</xdr:rowOff>
    </xdr:to>
    <xdr:pic>
      <xdr:nvPicPr>
        <xdr:cNvPr id="26" name="Check Box 78">
          <a:extLst>
            <a:ext uri="{FF2B5EF4-FFF2-40B4-BE49-F238E27FC236}">
              <a16:creationId xmlns:a16="http://schemas.microsoft.com/office/drawing/2014/main" id="{5B90AC03-C305-4D0D-9AEB-01A90B9F4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415838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20</xdr:row>
      <xdr:rowOff>9525</xdr:rowOff>
    </xdr:from>
    <xdr:to>
      <xdr:col>2</xdr:col>
      <xdr:colOff>1066800</xdr:colOff>
      <xdr:row>20</xdr:row>
      <xdr:rowOff>190500</xdr:rowOff>
    </xdr:to>
    <xdr:pic>
      <xdr:nvPicPr>
        <xdr:cNvPr id="27" name="Check Box 78">
          <a:extLst>
            <a:ext uri="{FF2B5EF4-FFF2-40B4-BE49-F238E27FC236}">
              <a16:creationId xmlns:a16="http://schemas.microsoft.com/office/drawing/2014/main" id="{32EF93C4-AE91-446C-87F2-FA44FF130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415838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20</xdr:row>
      <xdr:rowOff>9525</xdr:rowOff>
    </xdr:from>
    <xdr:to>
      <xdr:col>2</xdr:col>
      <xdr:colOff>1066800</xdr:colOff>
      <xdr:row>20</xdr:row>
      <xdr:rowOff>190500</xdr:rowOff>
    </xdr:to>
    <xdr:pic>
      <xdr:nvPicPr>
        <xdr:cNvPr id="28" name="Check Box 78">
          <a:extLst>
            <a:ext uri="{FF2B5EF4-FFF2-40B4-BE49-F238E27FC236}">
              <a16:creationId xmlns:a16="http://schemas.microsoft.com/office/drawing/2014/main" id="{A12E151F-C33A-4E07-BC37-CE2298163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415838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20</xdr:row>
      <xdr:rowOff>9525</xdr:rowOff>
    </xdr:from>
    <xdr:to>
      <xdr:col>2</xdr:col>
      <xdr:colOff>1066800</xdr:colOff>
      <xdr:row>20</xdr:row>
      <xdr:rowOff>190500</xdr:rowOff>
    </xdr:to>
    <xdr:pic>
      <xdr:nvPicPr>
        <xdr:cNvPr id="29" name="Check Box 78">
          <a:extLst>
            <a:ext uri="{FF2B5EF4-FFF2-40B4-BE49-F238E27FC236}">
              <a16:creationId xmlns:a16="http://schemas.microsoft.com/office/drawing/2014/main" id="{F3C3C79C-1993-443B-A421-6106ABA62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415838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3545806</xdr:colOff>
      <xdr:row>22</xdr:row>
      <xdr:rowOff>201695</xdr:rowOff>
    </xdr:from>
    <xdr:to>
      <xdr:col>0</xdr:col>
      <xdr:colOff>3545806</xdr:colOff>
      <xdr:row>23</xdr:row>
      <xdr:rowOff>157077</xdr:rowOff>
    </xdr:to>
    <xdr:pic>
      <xdr:nvPicPr>
        <xdr:cNvPr id="31" name="Check Box 78">
          <a:extLst>
            <a:ext uri="{FF2B5EF4-FFF2-40B4-BE49-F238E27FC236}">
              <a16:creationId xmlns:a16="http://schemas.microsoft.com/office/drawing/2014/main" id="{D8EE18F1-76BB-4D33-9895-320A1676F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5806" y="6351169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32</xdr:row>
      <xdr:rowOff>9525</xdr:rowOff>
    </xdr:from>
    <xdr:to>
      <xdr:col>2</xdr:col>
      <xdr:colOff>1066800</xdr:colOff>
      <xdr:row>32</xdr:row>
      <xdr:rowOff>190500</xdr:rowOff>
    </xdr:to>
    <xdr:pic>
      <xdr:nvPicPr>
        <xdr:cNvPr id="30" name="Check Box 78">
          <a:extLst>
            <a:ext uri="{FF2B5EF4-FFF2-40B4-BE49-F238E27FC236}">
              <a16:creationId xmlns:a16="http://schemas.microsoft.com/office/drawing/2014/main" id="{06A6E2D7-41FF-4AE0-9D09-E189167A0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2990144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32</xdr:row>
      <xdr:rowOff>9525</xdr:rowOff>
    </xdr:from>
    <xdr:to>
      <xdr:col>2</xdr:col>
      <xdr:colOff>1066800</xdr:colOff>
      <xdr:row>32</xdr:row>
      <xdr:rowOff>190500</xdr:rowOff>
    </xdr:to>
    <xdr:pic>
      <xdr:nvPicPr>
        <xdr:cNvPr id="32" name="Check Box 78">
          <a:extLst>
            <a:ext uri="{FF2B5EF4-FFF2-40B4-BE49-F238E27FC236}">
              <a16:creationId xmlns:a16="http://schemas.microsoft.com/office/drawing/2014/main" id="{AD408033-A193-4063-8592-63ED41762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2990144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32</xdr:row>
      <xdr:rowOff>9525</xdr:rowOff>
    </xdr:from>
    <xdr:to>
      <xdr:col>2</xdr:col>
      <xdr:colOff>1066800</xdr:colOff>
      <xdr:row>32</xdr:row>
      <xdr:rowOff>190500</xdr:rowOff>
    </xdr:to>
    <xdr:pic>
      <xdr:nvPicPr>
        <xdr:cNvPr id="33" name="Check Box 78">
          <a:extLst>
            <a:ext uri="{FF2B5EF4-FFF2-40B4-BE49-F238E27FC236}">
              <a16:creationId xmlns:a16="http://schemas.microsoft.com/office/drawing/2014/main" id="{34F5122D-08E2-4BE5-84AC-5B367AFBC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2990144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32</xdr:row>
      <xdr:rowOff>9525</xdr:rowOff>
    </xdr:from>
    <xdr:to>
      <xdr:col>2</xdr:col>
      <xdr:colOff>1066800</xdr:colOff>
      <xdr:row>32</xdr:row>
      <xdr:rowOff>190500</xdr:rowOff>
    </xdr:to>
    <xdr:pic>
      <xdr:nvPicPr>
        <xdr:cNvPr id="34" name="Check Box 78">
          <a:extLst>
            <a:ext uri="{FF2B5EF4-FFF2-40B4-BE49-F238E27FC236}">
              <a16:creationId xmlns:a16="http://schemas.microsoft.com/office/drawing/2014/main" id="{E9909D6C-B19D-4BFC-9122-E1FEF9D2D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2990144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32</xdr:row>
      <xdr:rowOff>9525</xdr:rowOff>
    </xdr:from>
    <xdr:to>
      <xdr:col>2</xdr:col>
      <xdr:colOff>1066800</xdr:colOff>
      <xdr:row>32</xdr:row>
      <xdr:rowOff>190500</xdr:rowOff>
    </xdr:to>
    <xdr:pic>
      <xdr:nvPicPr>
        <xdr:cNvPr id="35" name="Check Box 78">
          <a:extLst>
            <a:ext uri="{FF2B5EF4-FFF2-40B4-BE49-F238E27FC236}">
              <a16:creationId xmlns:a16="http://schemas.microsoft.com/office/drawing/2014/main" id="{82DDADE6-663F-4772-BC2B-B7551C4A9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2990144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32</xdr:row>
      <xdr:rowOff>9525</xdr:rowOff>
    </xdr:from>
    <xdr:to>
      <xdr:col>2</xdr:col>
      <xdr:colOff>1066800</xdr:colOff>
      <xdr:row>32</xdr:row>
      <xdr:rowOff>190500</xdr:rowOff>
    </xdr:to>
    <xdr:pic>
      <xdr:nvPicPr>
        <xdr:cNvPr id="36" name="Check Box 78">
          <a:extLst>
            <a:ext uri="{FF2B5EF4-FFF2-40B4-BE49-F238E27FC236}">
              <a16:creationId xmlns:a16="http://schemas.microsoft.com/office/drawing/2014/main" id="{D3477B0A-6166-4EA6-A0E7-174CF7006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2990144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32</xdr:row>
      <xdr:rowOff>9525</xdr:rowOff>
    </xdr:from>
    <xdr:to>
      <xdr:col>2</xdr:col>
      <xdr:colOff>1066800</xdr:colOff>
      <xdr:row>32</xdr:row>
      <xdr:rowOff>190500</xdr:rowOff>
    </xdr:to>
    <xdr:pic>
      <xdr:nvPicPr>
        <xdr:cNvPr id="37" name="Check Box 78">
          <a:extLst>
            <a:ext uri="{FF2B5EF4-FFF2-40B4-BE49-F238E27FC236}">
              <a16:creationId xmlns:a16="http://schemas.microsoft.com/office/drawing/2014/main" id="{4AB58C84-9658-4F0B-AC27-3398205A1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2990144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32</xdr:row>
      <xdr:rowOff>9525</xdr:rowOff>
    </xdr:from>
    <xdr:to>
      <xdr:col>2</xdr:col>
      <xdr:colOff>1066800</xdr:colOff>
      <xdr:row>32</xdr:row>
      <xdr:rowOff>190500</xdr:rowOff>
    </xdr:to>
    <xdr:pic>
      <xdr:nvPicPr>
        <xdr:cNvPr id="38" name="Check Box 78">
          <a:extLst>
            <a:ext uri="{FF2B5EF4-FFF2-40B4-BE49-F238E27FC236}">
              <a16:creationId xmlns:a16="http://schemas.microsoft.com/office/drawing/2014/main" id="{F66F7E4C-5267-4398-B5CC-9E1C911B8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2990144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32</xdr:row>
      <xdr:rowOff>9525</xdr:rowOff>
    </xdr:from>
    <xdr:to>
      <xdr:col>2</xdr:col>
      <xdr:colOff>1066800</xdr:colOff>
      <xdr:row>32</xdr:row>
      <xdr:rowOff>190500</xdr:rowOff>
    </xdr:to>
    <xdr:pic>
      <xdr:nvPicPr>
        <xdr:cNvPr id="39" name="Check Box 78">
          <a:extLst>
            <a:ext uri="{FF2B5EF4-FFF2-40B4-BE49-F238E27FC236}">
              <a16:creationId xmlns:a16="http://schemas.microsoft.com/office/drawing/2014/main" id="{C4AA176B-A0C9-4A36-B584-71771BF21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2990144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32</xdr:row>
      <xdr:rowOff>9525</xdr:rowOff>
    </xdr:from>
    <xdr:to>
      <xdr:col>2</xdr:col>
      <xdr:colOff>1066800</xdr:colOff>
      <xdr:row>32</xdr:row>
      <xdr:rowOff>190500</xdr:rowOff>
    </xdr:to>
    <xdr:pic>
      <xdr:nvPicPr>
        <xdr:cNvPr id="40" name="Check Box 78">
          <a:extLst>
            <a:ext uri="{FF2B5EF4-FFF2-40B4-BE49-F238E27FC236}">
              <a16:creationId xmlns:a16="http://schemas.microsoft.com/office/drawing/2014/main" id="{AE82A8ED-19FF-4174-81F9-1AD2F8A1D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2990144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1" name="Check Box 78">
          <a:extLst>
            <a:ext uri="{FF2B5EF4-FFF2-40B4-BE49-F238E27FC236}">
              <a16:creationId xmlns:a16="http://schemas.microsoft.com/office/drawing/2014/main" id="{A4D074DF-CC57-423F-8A79-F7E91A689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2" name="Check Box 78">
          <a:extLst>
            <a:ext uri="{FF2B5EF4-FFF2-40B4-BE49-F238E27FC236}">
              <a16:creationId xmlns:a16="http://schemas.microsoft.com/office/drawing/2014/main" id="{2223D1EC-E029-4A05-AC9E-580DF8C13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3" name="Check Box 78">
          <a:extLst>
            <a:ext uri="{FF2B5EF4-FFF2-40B4-BE49-F238E27FC236}">
              <a16:creationId xmlns:a16="http://schemas.microsoft.com/office/drawing/2014/main" id="{F52AFE1D-62A7-4A26-B117-AC5FC66E9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4" name="Check Box 78">
          <a:extLst>
            <a:ext uri="{FF2B5EF4-FFF2-40B4-BE49-F238E27FC236}">
              <a16:creationId xmlns:a16="http://schemas.microsoft.com/office/drawing/2014/main" id="{BC463054-36B8-4385-9308-7ACBECD76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5" name="Check Box 78">
          <a:extLst>
            <a:ext uri="{FF2B5EF4-FFF2-40B4-BE49-F238E27FC236}">
              <a16:creationId xmlns:a16="http://schemas.microsoft.com/office/drawing/2014/main" id="{5358E776-E356-49D2-BA82-ADC77995B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6" name="Check Box 78">
          <a:extLst>
            <a:ext uri="{FF2B5EF4-FFF2-40B4-BE49-F238E27FC236}">
              <a16:creationId xmlns:a16="http://schemas.microsoft.com/office/drawing/2014/main" id="{47AD755F-2792-437C-87A1-20B735E9A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7" name="Check Box 78">
          <a:extLst>
            <a:ext uri="{FF2B5EF4-FFF2-40B4-BE49-F238E27FC236}">
              <a16:creationId xmlns:a16="http://schemas.microsoft.com/office/drawing/2014/main" id="{68C960E7-C919-49AF-8EDE-86C54A0A4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8" name="Check Box 78">
          <a:extLst>
            <a:ext uri="{FF2B5EF4-FFF2-40B4-BE49-F238E27FC236}">
              <a16:creationId xmlns:a16="http://schemas.microsoft.com/office/drawing/2014/main" id="{BC1DF7E9-C31E-49ED-9E2D-5A36ADDBF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49" name="Check Box 78">
          <a:extLst>
            <a:ext uri="{FF2B5EF4-FFF2-40B4-BE49-F238E27FC236}">
              <a16:creationId xmlns:a16="http://schemas.microsoft.com/office/drawing/2014/main" id="{D1EB5919-BE9F-4463-B701-6036F4B9E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0" name="Check Box 78">
          <a:extLst>
            <a:ext uri="{FF2B5EF4-FFF2-40B4-BE49-F238E27FC236}">
              <a16:creationId xmlns:a16="http://schemas.microsoft.com/office/drawing/2014/main" id="{68CB8B60-077D-4BF1-9DD3-95F05C851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1" name="Check Box 78">
          <a:extLst>
            <a:ext uri="{FF2B5EF4-FFF2-40B4-BE49-F238E27FC236}">
              <a16:creationId xmlns:a16="http://schemas.microsoft.com/office/drawing/2014/main" id="{679E8DC6-C1CE-4E40-B6AB-CAF2502EB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2" name="Check Box 78">
          <a:extLst>
            <a:ext uri="{FF2B5EF4-FFF2-40B4-BE49-F238E27FC236}">
              <a16:creationId xmlns:a16="http://schemas.microsoft.com/office/drawing/2014/main" id="{74974D27-23DF-4A30-AB55-BB3863BDF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3" name="Check Box 78">
          <a:extLst>
            <a:ext uri="{FF2B5EF4-FFF2-40B4-BE49-F238E27FC236}">
              <a16:creationId xmlns:a16="http://schemas.microsoft.com/office/drawing/2014/main" id="{720BCCC4-44A3-4A13-AFE8-DBDE65F56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4" name="Check Box 78">
          <a:extLst>
            <a:ext uri="{FF2B5EF4-FFF2-40B4-BE49-F238E27FC236}">
              <a16:creationId xmlns:a16="http://schemas.microsoft.com/office/drawing/2014/main" id="{BFD35C26-FF46-4B52-B66A-D4F481C22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5" name="Check Box 78">
          <a:extLst>
            <a:ext uri="{FF2B5EF4-FFF2-40B4-BE49-F238E27FC236}">
              <a16:creationId xmlns:a16="http://schemas.microsoft.com/office/drawing/2014/main" id="{F05B8474-81D4-44E4-91A9-C4D830C5A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6" name="Check Box 78">
          <a:extLst>
            <a:ext uri="{FF2B5EF4-FFF2-40B4-BE49-F238E27FC236}">
              <a16:creationId xmlns:a16="http://schemas.microsoft.com/office/drawing/2014/main" id="{7DB73F81-44B4-4210-B7D8-DCD27E7FF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7" name="Check Box 78">
          <a:extLst>
            <a:ext uri="{FF2B5EF4-FFF2-40B4-BE49-F238E27FC236}">
              <a16:creationId xmlns:a16="http://schemas.microsoft.com/office/drawing/2014/main" id="{A49E0BAE-830A-4695-944C-CB2050D76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8" name="Check Box 78">
          <a:extLst>
            <a:ext uri="{FF2B5EF4-FFF2-40B4-BE49-F238E27FC236}">
              <a16:creationId xmlns:a16="http://schemas.microsoft.com/office/drawing/2014/main" id="{5C1E5A87-B3F3-41A0-BEE1-5E9B47FC9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59" name="Check Box 78">
          <a:extLst>
            <a:ext uri="{FF2B5EF4-FFF2-40B4-BE49-F238E27FC236}">
              <a16:creationId xmlns:a16="http://schemas.microsoft.com/office/drawing/2014/main" id="{7A5C4BE4-32E6-4C62-B617-0F88718B1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0" name="Check Box 78">
          <a:extLst>
            <a:ext uri="{FF2B5EF4-FFF2-40B4-BE49-F238E27FC236}">
              <a16:creationId xmlns:a16="http://schemas.microsoft.com/office/drawing/2014/main" id="{D525D9C4-C411-4886-9F8B-F7DE1DFE7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1156" y="8719256"/>
          <a:ext cx="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04" name="Check Box 78">
          <a:extLst>
            <a:ext uri="{FF2B5EF4-FFF2-40B4-BE49-F238E27FC236}">
              <a16:creationId xmlns:a16="http://schemas.microsoft.com/office/drawing/2014/main" id="{E58B0B14-3078-4118-9C3E-AD87E1D57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05" name="Check Box 78">
          <a:extLst>
            <a:ext uri="{FF2B5EF4-FFF2-40B4-BE49-F238E27FC236}">
              <a16:creationId xmlns:a16="http://schemas.microsoft.com/office/drawing/2014/main" id="{7967B34E-22F3-488E-BF4D-A2F363E07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06" name="Check Box 78">
          <a:extLst>
            <a:ext uri="{FF2B5EF4-FFF2-40B4-BE49-F238E27FC236}">
              <a16:creationId xmlns:a16="http://schemas.microsoft.com/office/drawing/2014/main" id="{1765AE22-0820-4D83-A846-2BEB42042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07" name="Check Box 78">
          <a:extLst>
            <a:ext uri="{FF2B5EF4-FFF2-40B4-BE49-F238E27FC236}">
              <a16:creationId xmlns:a16="http://schemas.microsoft.com/office/drawing/2014/main" id="{41848713-59B3-41F3-99DD-B5D3927EC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08" name="Check Box 78">
          <a:extLst>
            <a:ext uri="{FF2B5EF4-FFF2-40B4-BE49-F238E27FC236}">
              <a16:creationId xmlns:a16="http://schemas.microsoft.com/office/drawing/2014/main" id="{83F963F2-5BC2-461F-9940-3979BEF9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09" name="Check Box 78">
          <a:extLst>
            <a:ext uri="{FF2B5EF4-FFF2-40B4-BE49-F238E27FC236}">
              <a16:creationId xmlns:a16="http://schemas.microsoft.com/office/drawing/2014/main" id="{A722BAFB-16F2-4B9A-9CE8-3B875AD9D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10" name="Check Box 78">
          <a:extLst>
            <a:ext uri="{FF2B5EF4-FFF2-40B4-BE49-F238E27FC236}">
              <a16:creationId xmlns:a16="http://schemas.microsoft.com/office/drawing/2014/main" id="{F4FF4884-B9AA-4146-8F31-06EE9AF40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11" name="Check Box 78">
          <a:extLst>
            <a:ext uri="{FF2B5EF4-FFF2-40B4-BE49-F238E27FC236}">
              <a16:creationId xmlns:a16="http://schemas.microsoft.com/office/drawing/2014/main" id="{6A1F85C4-31AF-496A-896D-9D573B0E6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12" name="Check Box 78">
          <a:extLst>
            <a:ext uri="{FF2B5EF4-FFF2-40B4-BE49-F238E27FC236}">
              <a16:creationId xmlns:a16="http://schemas.microsoft.com/office/drawing/2014/main" id="{D6992962-2DDC-4AFD-AB5F-6693EDBED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13" name="Check Box 78">
          <a:extLst>
            <a:ext uri="{FF2B5EF4-FFF2-40B4-BE49-F238E27FC236}">
              <a16:creationId xmlns:a16="http://schemas.microsoft.com/office/drawing/2014/main" id="{EAD877E6-DBD7-43C4-BC4F-3AB243969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1105354</xdr:colOff>
      <xdr:row>8</xdr:row>
      <xdr:rowOff>63953</xdr:rowOff>
    </xdr:from>
    <xdr:to>
      <xdr:col>2</xdr:col>
      <xdr:colOff>1105354</xdr:colOff>
      <xdr:row>9</xdr:row>
      <xdr:rowOff>9071</xdr:rowOff>
    </xdr:to>
    <xdr:pic>
      <xdr:nvPicPr>
        <xdr:cNvPr id="114" name="Check Box 78">
          <a:extLst>
            <a:ext uri="{FF2B5EF4-FFF2-40B4-BE49-F238E27FC236}">
              <a16:creationId xmlns:a16="http://schemas.microsoft.com/office/drawing/2014/main" id="{0671E68A-2208-4AA8-A61F-DB6499AA4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7081" y="3219037"/>
          <a:ext cx="0" cy="1875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15" name="Check Box 78">
          <a:extLst>
            <a:ext uri="{FF2B5EF4-FFF2-40B4-BE49-F238E27FC236}">
              <a16:creationId xmlns:a16="http://schemas.microsoft.com/office/drawing/2014/main" id="{1D4966E4-9F04-4649-AB98-614156681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16" name="Check Box 78">
          <a:extLst>
            <a:ext uri="{FF2B5EF4-FFF2-40B4-BE49-F238E27FC236}">
              <a16:creationId xmlns:a16="http://schemas.microsoft.com/office/drawing/2014/main" id="{584F8480-148A-4A1F-8A50-A900046CB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17" name="Check Box 78">
          <a:extLst>
            <a:ext uri="{FF2B5EF4-FFF2-40B4-BE49-F238E27FC236}">
              <a16:creationId xmlns:a16="http://schemas.microsoft.com/office/drawing/2014/main" id="{DC96B4A5-0268-4F0F-AE10-C6763C972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18" name="Check Box 78">
          <a:extLst>
            <a:ext uri="{FF2B5EF4-FFF2-40B4-BE49-F238E27FC236}">
              <a16:creationId xmlns:a16="http://schemas.microsoft.com/office/drawing/2014/main" id="{7B1E16EC-9E3D-4896-930F-EB5E24E17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19" name="Check Box 78">
          <a:extLst>
            <a:ext uri="{FF2B5EF4-FFF2-40B4-BE49-F238E27FC236}">
              <a16:creationId xmlns:a16="http://schemas.microsoft.com/office/drawing/2014/main" id="{98A61CD8-E8DE-4D24-91AA-07744A80F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20" name="Check Box 78">
          <a:extLst>
            <a:ext uri="{FF2B5EF4-FFF2-40B4-BE49-F238E27FC236}">
              <a16:creationId xmlns:a16="http://schemas.microsoft.com/office/drawing/2014/main" id="{46D72D10-0C2C-42A8-BF67-B502086F2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21" name="Check Box 78">
          <a:extLst>
            <a:ext uri="{FF2B5EF4-FFF2-40B4-BE49-F238E27FC236}">
              <a16:creationId xmlns:a16="http://schemas.microsoft.com/office/drawing/2014/main" id="{B8E216DF-E6E2-4295-93C2-459267F9B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22" name="Check Box 78">
          <a:extLst>
            <a:ext uri="{FF2B5EF4-FFF2-40B4-BE49-F238E27FC236}">
              <a16:creationId xmlns:a16="http://schemas.microsoft.com/office/drawing/2014/main" id="{9217F587-BA34-4478-A832-853A58749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23" name="Check Box 78">
          <a:extLst>
            <a:ext uri="{FF2B5EF4-FFF2-40B4-BE49-F238E27FC236}">
              <a16:creationId xmlns:a16="http://schemas.microsoft.com/office/drawing/2014/main" id="{7EC09EDD-B1FD-47C1-9E8D-AD7DF5B53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24" name="Check Box 78">
          <a:extLst>
            <a:ext uri="{FF2B5EF4-FFF2-40B4-BE49-F238E27FC236}">
              <a16:creationId xmlns:a16="http://schemas.microsoft.com/office/drawing/2014/main" id="{7798B597-C9BD-4572-8051-7DC215843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25" name="Check Box 78">
          <a:extLst>
            <a:ext uri="{FF2B5EF4-FFF2-40B4-BE49-F238E27FC236}">
              <a16:creationId xmlns:a16="http://schemas.microsoft.com/office/drawing/2014/main" id="{4D61BF10-8124-456F-A8A9-2AFC035D2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26" name="Check Box 78">
          <a:extLst>
            <a:ext uri="{FF2B5EF4-FFF2-40B4-BE49-F238E27FC236}">
              <a16:creationId xmlns:a16="http://schemas.microsoft.com/office/drawing/2014/main" id="{EAD45992-09CC-4D33-A3E6-7F06711A7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27" name="Check Box 78">
          <a:extLst>
            <a:ext uri="{FF2B5EF4-FFF2-40B4-BE49-F238E27FC236}">
              <a16:creationId xmlns:a16="http://schemas.microsoft.com/office/drawing/2014/main" id="{F28C832C-9937-4460-9F32-BC03C5BD9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28" name="Check Box 78">
          <a:extLst>
            <a:ext uri="{FF2B5EF4-FFF2-40B4-BE49-F238E27FC236}">
              <a16:creationId xmlns:a16="http://schemas.microsoft.com/office/drawing/2014/main" id="{84D23133-D854-47B4-8791-2DEE80240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29" name="Check Box 78">
          <a:extLst>
            <a:ext uri="{FF2B5EF4-FFF2-40B4-BE49-F238E27FC236}">
              <a16:creationId xmlns:a16="http://schemas.microsoft.com/office/drawing/2014/main" id="{9D96327F-CDD3-4B26-847F-94B7DE4D8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30" name="Check Box 78">
          <a:extLst>
            <a:ext uri="{FF2B5EF4-FFF2-40B4-BE49-F238E27FC236}">
              <a16:creationId xmlns:a16="http://schemas.microsoft.com/office/drawing/2014/main" id="{8FA91A59-05F0-4920-B5AB-D382A3982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31" name="Check Box 78">
          <a:extLst>
            <a:ext uri="{FF2B5EF4-FFF2-40B4-BE49-F238E27FC236}">
              <a16:creationId xmlns:a16="http://schemas.microsoft.com/office/drawing/2014/main" id="{63CC1467-AADE-41A6-906A-79501E1C4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32" name="Check Box 78">
          <a:extLst>
            <a:ext uri="{FF2B5EF4-FFF2-40B4-BE49-F238E27FC236}">
              <a16:creationId xmlns:a16="http://schemas.microsoft.com/office/drawing/2014/main" id="{083729B9-A4D5-4955-A7BC-3D1FDB65E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33" name="Check Box 78">
          <a:extLst>
            <a:ext uri="{FF2B5EF4-FFF2-40B4-BE49-F238E27FC236}">
              <a16:creationId xmlns:a16="http://schemas.microsoft.com/office/drawing/2014/main" id="{09C0FBB7-D925-416E-98C6-896CEB113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34" name="Check Box 78">
          <a:extLst>
            <a:ext uri="{FF2B5EF4-FFF2-40B4-BE49-F238E27FC236}">
              <a16:creationId xmlns:a16="http://schemas.microsoft.com/office/drawing/2014/main" id="{6AECC5B7-8932-4140-952C-E3971E5BB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2977" y="2933123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1" name="Check Box 78">
          <a:extLst>
            <a:ext uri="{FF2B5EF4-FFF2-40B4-BE49-F238E27FC236}">
              <a16:creationId xmlns:a16="http://schemas.microsoft.com/office/drawing/2014/main" id="{D6107613-0FAB-4B97-8029-ABF0EF603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2" name="Check Box 78">
          <a:extLst>
            <a:ext uri="{FF2B5EF4-FFF2-40B4-BE49-F238E27FC236}">
              <a16:creationId xmlns:a16="http://schemas.microsoft.com/office/drawing/2014/main" id="{80A2D728-D1B4-4496-86DE-393E63796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3" name="Check Box 78">
          <a:extLst>
            <a:ext uri="{FF2B5EF4-FFF2-40B4-BE49-F238E27FC236}">
              <a16:creationId xmlns:a16="http://schemas.microsoft.com/office/drawing/2014/main" id="{685CA394-5AFC-4586-94EB-4F0B898AB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4" name="Check Box 78">
          <a:extLst>
            <a:ext uri="{FF2B5EF4-FFF2-40B4-BE49-F238E27FC236}">
              <a16:creationId xmlns:a16="http://schemas.microsoft.com/office/drawing/2014/main" id="{2E703D68-104B-474F-8B13-D7F1756A7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5" name="Check Box 78">
          <a:extLst>
            <a:ext uri="{FF2B5EF4-FFF2-40B4-BE49-F238E27FC236}">
              <a16:creationId xmlns:a16="http://schemas.microsoft.com/office/drawing/2014/main" id="{1358BA50-29FC-442D-9D75-9B3B20F81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6" name="Check Box 78">
          <a:extLst>
            <a:ext uri="{FF2B5EF4-FFF2-40B4-BE49-F238E27FC236}">
              <a16:creationId xmlns:a16="http://schemas.microsoft.com/office/drawing/2014/main" id="{13A3C82D-E2FD-42A4-AACD-4B7D5F50C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7" name="Check Box 78">
          <a:extLst>
            <a:ext uri="{FF2B5EF4-FFF2-40B4-BE49-F238E27FC236}">
              <a16:creationId xmlns:a16="http://schemas.microsoft.com/office/drawing/2014/main" id="{A994D31C-7D39-4E78-9E36-8309457DB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8" name="Check Box 78">
          <a:extLst>
            <a:ext uri="{FF2B5EF4-FFF2-40B4-BE49-F238E27FC236}">
              <a16:creationId xmlns:a16="http://schemas.microsoft.com/office/drawing/2014/main" id="{0C8B633A-D34B-4296-9EF1-D3ED02569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69" name="Check Box 78">
          <a:extLst>
            <a:ext uri="{FF2B5EF4-FFF2-40B4-BE49-F238E27FC236}">
              <a16:creationId xmlns:a16="http://schemas.microsoft.com/office/drawing/2014/main" id="{D4A62B0D-45EA-463A-BBBC-FA2FE4847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70" name="Check Box 78">
          <a:extLst>
            <a:ext uri="{FF2B5EF4-FFF2-40B4-BE49-F238E27FC236}">
              <a16:creationId xmlns:a16="http://schemas.microsoft.com/office/drawing/2014/main" id="{2294D8DB-43CF-430F-A9CF-BD0C2C099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71" name="Check Box 78">
          <a:extLst>
            <a:ext uri="{FF2B5EF4-FFF2-40B4-BE49-F238E27FC236}">
              <a16:creationId xmlns:a16="http://schemas.microsoft.com/office/drawing/2014/main" id="{8C2E05B7-D1E5-4B53-AC16-35B7BC294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72" name="Check Box 78">
          <a:extLst>
            <a:ext uri="{FF2B5EF4-FFF2-40B4-BE49-F238E27FC236}">
              <a16:creationId xmlns:a16="http://schemas.microsoft.com/office/drawing/2014/main" id="{53EB4A04-3DA3-4CE0-BD53-BDA064388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73" name="Check Box 78">
          <a:extLst>
            <a:ext uri="{FF2B5EF4-FFF2-40B4-BE49-F238E27FC236}">
              <a16:creationId xmlns:a16="http://schemas.microsoft.com/office/drawing/2014/main" id="{E263AC89-AE02-4F28-B5A0-BF03884C2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74" name="Check Box 78">
          <a:extLst>
            <a:ext uri="{FF2B5EF4-FFF2-40B4-BE49-F238E27FC236}">
              <a16:creationId xmlns:a16="http://schemas.microsoft.com/office/drawing/2014/main" id="{FAF38121-5BFF-4BBD-AECB-B3AC001C3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75" name="Check Box 78">
          <a:extLst>
            <a:ext uri="{FF2B5EF4-FFF2-40B4-BE49-F238E27FC236}">
              <a16:creationId xmlns:a16="http://schemas.microsoft.com/office/drawing/2014/main" id="{1921AF43-9F1F-4543-9624-AE295F431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76" name="Check Box 78">
          <a:extLst>
            <a:ext uri="{FF2B5EF4-FFF2-40B4-BE49-F238E27FC236}">
              <a16:creationId xmlns:a16="http://schemas.microsoft.com/office/drawing/2014/main" id="{8875D5D5-A073-4DD3-9A33-F3CDFF844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77" name="Check Box 78">
          <a:extLst>
            <a:ext uri="{FF2B5EF4-FFF2-40B4-BE49-F238E27FC236}">
              <a16:creationId xmlns:a16="http://schemas.microsoft.com/office/drawing/2014/main" id="{57F84971-6F67-4DCB-AF10-FE5DFE512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78" name="Check Box 78">
          <a:extLst>
            <a:ext uri="{FF2B5EF4-FFF2-40B4-BE49-F238E27FC236}">
              <a16:creationId xmlns:a16="http://schemas.microsoft.com/office/drawing/2014/main" id="{78A8802E-A4E4-476E-B89D-92A756543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79" name="Check Box 78">
          <a:extLst>
            <a:ext uri="{FF2B5EF4-FFF2-40B4-BE49-F238E27FC236}">
              <a16:creationId xmlns:a16="http://schemas.microsoft.com/office/drawing/2014/main" id="{382E6A5A-C79E-4190-BCB6-57EE4F0A9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80" name="Check Box 78">
          <a:extLst>
            <a:ext uri="{FF2B5EF4-FFF2-40B4-BE49-F238E27FC236}">
              <a16:creationId xmlns:a16="http://schemas.microsoft.com/office/drawing/2014/main" id="{F7C09120-DA0F-4E35-BCAB-0BBD6E8D2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81" name="Check Box 78">
          <a:extLst>
            <a:ext uri="{FF2B5EF4-FFF2-40B4-BE49-F238E27FC236}">
              <a16:creationId xmlns:a16="http://schemas.microsoft.com/office/drawing/2014/main" id="{4E380DC4-EFC7-4F55-ACF7-71E824CCD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82" name="Check Box 78">
          <a:extLst>
            <a:ext uri="{FF2B5EF4-FFF2-40B4-BE49-F238E27FC236}">
              <a16:creationId xmlns:a16="http://schemas.microsoft.com/office/drawing/2014/main" id="{E5937D7C-41A4-4EDB-8B23-F6795E0E6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83" name="Check Box 78">
          <a:extLst>
            <a:ext uri="{FF2B5EF4-FFF2-40B4-BE49-F238E27FC236}">
              <a16:creationId xmlns:a16="http://schemas.microsoft.com/office/drawing/2014/main" id="{49488CE8-4C13-44CF-AE6F-EC600FFF2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84" name="Check Box 78">
          <a:extLst>
            <a:ext uri="{FF2B5EF4-FFF2-40B4-BE49-F238E27FC236}">
              <a16:creationId xmlns:a16="http://schemas.microsoft.com/office/drawing/2014/main" id="{A2E2D21A-E3F7-424C-95FB-FD58CEF51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85" name="Check Box 78">
          <a:extLst>
            <a:ext uri="{FF2B5EF4-FFF2-40B4-BE49-F238E27FC236}">
              <a16:creationId xmlns:a16="http://schemas.microsoft.com/office/drawing/2014/main" id="{79800225-E7BE-4876-8EE1-BF44B5D2F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86" name="Check Box 78">
          <a:extLst>
            <a:ext uri="{FF2B5EF4-FFF2-40B4-BE49-F238E27FC236}">
              <a16:creationId xmlns:a16="http://schemas.microsoft.com/office/drawing/2014/main" id="{F1D18D3E-D5AC-45ED-8468-882E39FC6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87" name="Check Box 78">
          <a:extLst>
            <a:ext uri="{FF2B5EF4-FFF2-40B4-BE49-F238E27FC236}">
              <a16:creationId xmlns:a16="http://schemas.microsoft.com/office/drawing/2014/main" id="{C502C0FF-E4B5-41B1-8E27-27BBCEF51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88" name="Check Box 78">
          <a:extLst>
            <a:ext uri="{FF2B5EF4-FFF2-40B4-BE49-F238E27FC236}">
              <a16:creationId xmlns:a16="http://schemas.microsoft.com/office/drawing/2014/main" id="{95C05E84-34DD-477E-91F6-018DB4146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89" name="Check Box 78">
          <a:extLst>
            <a:ext uri="{FF2B5EF4-FFF2-40B4-BE49-F238E27FC236}">
              <a16:creationId xmlns:a16="http://schemas.microsoft.com/office/drawing/2014/main" id="{91119156-912E-40FE-819D-59EEB8DFF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90" name="Check Box 78">
          <a:extLst>
            <a:ext uri="{FF2B5EF4-FFF2-40B4-BE49-F238E27FC236}">
              <a16:creationId xmlns:a16="http://schemas.microsoft.com/office/drawing/2014/main" id="{97A0D794-11DC-413B-B1EB-4D3FC25CB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91" name="Check Box 78">
          <a:extLst>
            <a:ext uri="{FF2B5EF4-FFF2-40B4-BE49-F238E27FC236}">
              <a16:creationId xmlns:a16="http://schemas.microsoft.com/office/drawing/2014/main" id="{2727492D-974E-4E00-A7BE-EBD21650B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92" name="Check Box 78">
          <a:extLst>
            <a:ext uri="{FF2B5EF4-FFF2-40B4-BE49-F238E27FC236}">
              <a16:creationId xmlns:a16="http://schemas.microsoft.com/office/drawing/2014/main" id="{414A74CC-6F28-40BB-9087-F211FA4AA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93" name="Check Box 78">
          <a:extLst>
            <a:ext uri="{FF2B5EF4-FFF2-40B4-BE49-F238E27FC236}">
              <a16:creationId xmlns:a16="http://schemas.microsoft.com/office/drawing/2014/main" id="{7857BEF5-0573-4BF4-98F3-9ACF15760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94" name="Check Box 78">
          <a:extLst>
            <a:ext uri="{FF2B5EF4-FFF2-40B4-BE49-F238E27FC236}">
              <a16:creationId xmlns:a16="http://schemas.microsoft.com/office/drawing/2014/main" id="{8CD807EE-C3D8-44A6-8B2B-683058B13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95" name="Check Box 78">
          <a:extLst>
            <a:ext uri="{FF2B5EF4-FFF2-40B4-BE49-F238E27FC236}">
              <a16:creationId xmlns:a16="http://schemas.microsoft.com/office/drawing/2014/main" id="{A4CC400D-43C0-49F3-B15E-B9210B699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96" name="Check Box 78">
          <a:extLst>
            <a:ext uri="{FF2B5EF4-FFF2-40B4-BE49-F238E27FC236}">
              <a16:creationId xmlns:a16="http://schemas.microsoft.com/office/drawing/2014/main" id="{BBD2CAAC-015C-471A-9094-E97879441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97" name="Check Box 78">
          <a:extLst>
            <a:ext uri="{FF2B5EF4-FFF2-40B4-BE49-F238E27FC236}">
              <a16:creationId xmlns:a16="http://schemas.microsoft.com/office/drawing/2014/main" id="{C0360CAB-C9A5-4E49-BD8F-3DBA490AD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98" name="Check Box 78">
          <a:extLst>
            <a:ext uri="{FF2B5EF4-FFF2-40B4-BE49-F238E27FC236}">
              <a16:creationId xmlns:a16="http://schemas.microsoft.com/office/drawing/2014/main" id="{BF5732FD-B8CD-4E26-92DA-9546EA3DF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99" name="Check Box 78">
          <a:extLst>
            <a:ext uri="{FF2B5EF4-FFF2-40B4-BE49-F238E27FC236}">
              <a16:creationId xmlns:a16="http://schemas.microsoft.com/office/drawing/2014/main" id="{F05D9B64-7472-49FE-A691-F8C9BCE2A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00" name="Check Box 78">
          <a:extLst>
            <a:ext uri="{FF2B5EF4-FFF2-40B4-BE49-F238E27FC236}">
              <a16:creationId xmlns:a16="http://schemas.microsoft.com/office/drawing/2014/main" id="{343C9E21-5BD4-46D0-81FE-9FBADEA95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01" name="Check Box 78">
          <a:extLst>
            <a:ext uri="{FF2B5EF4-FFF2-40B4-BE49-F238E27FC236}">
              <a16:creationId xmlns:a16="http://schemas.microsoft.com/office/drawing/2014/main" id="{5D60DFF7-D228-43E3-BC04-F0BDEE145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02" name="Check Box 78">
          <a:extLst>
            <a:ext uri="{FF2B5EF4-FFF2-40B4-BE49-F238E27FC236}">
              <a16:creationId xmlns:a16="http://schemas.microsoft.com/office/drawing/2014/main" id="{EEE32E34-F38A-47E6-A866-E1257C5FB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03" name="Check Box 78">
          <a:extLst>
            <a:ext uri="{FF2B5EF4-FFF2-40B4-BE49-F238E27FC236}">
              <a16:creationId xmlns:a16="http://schemas.microsoft.com/office/drawing/2014/main" id="{39C0E1E0-F5F5-4396-AB76-DF7494259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35" name="Check Box 78">
          <a:extLst>
            <a:ext uri="{FF2B5EF4-FFF2-40B4-BE49-F238E27FC236}">
              <a16:creationId xmlns:a16="http://schemas.microsoft.com/office/drawing/2014/main" id="{CA95D485-0378-438A-BB82-202CD521F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36" name="Check Box 78">
          <a:extLst>
            <a:ext uri="{FF2B5EF4-FFF2-40B4-BE49-F238E27FC236}">
              <a16:creationId xmlns:a16="http://schemas.microsoft.com/office/drawing/2014/main" id="{78F44D87-C1D1-4FE4-9E2A-9488BFC9A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37" name="Check Box 78">
          <a:extLst>
            <a:ext uri="{FF2B5EF4-FFF2-40B4-BE49-F238E27FC236}">
              <a16:creationId xmlns:a16="http://schemas.microsoft.com/office/drawing/2014/main" id="{17711027-24F1-4484-BBF7-6453E9A81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38" name="Check Box 78">
          <a:extLst>
            <a:ext uri="{FF2B5EF4-FFF2-40B4-BE49-F238E27FC236}">
              <a16:creationId xmlns:a16="http://schemas.microsoft.com/office/drawing/2014/main" id="{44831356-8A25-4FBB-A6F5-38B25F6D1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39" name="Check Box 78">
          <a:extLst>
            <a:ext uri="{FF2B5EF4-FFF2-40B4-BE49-F238E27FC236}">
              <a16:creationId xmlns:a16="http://schemas.microsoft.com/office/drawing/2014/main" id="{D31C2312-D70F-43AA-BB07-D9B436FED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40" name="Check Box 78">
          <a:extLst>
            <a:ext uri="{FF2B5EF4-FFF2-40B4-BE49-F238E27FC236}">
              <a16:creationId xmlns:a16="http://schemas.microsoft.com/office/drawing/2014/main" id="{9ECCACB0-878B-49B4-BA07-E6F31488C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41" name="Check Box 78">
          <a:extLst>
            <a:ext uri="{FF2B5EF4-FFF2-40B4-BE49-F238E27FC236}">
              <a16:creationId xmlns:a16="http://schemas.microsoft.com/office/drawing/2014/main" id="{6B5FE894-7D69-4316-BAD2-E7F82C50E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42" name="Check Box 78">
          <a:extLst>
            <a:ext uri="{FF2B5EF4-FFF2-40B4-BE49-F238E27FC236}">
              <a16:creationId xmlns:a16="http://schemas.microsoft.com/office/drawing/2014/main" id="{19DC6F31-AE55-44D5-92FD-5B68EDDC3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43" name="Check Box 78">
          <a:extLst>
            <a:ext uri="{FF2B5EF4-FFF2-40B4-BE49-F238E27FC236}">
              <a16:creationId xmlns:a16="http://schemas.microsoft.com/office/drawing/2014/main" id="{62F8DAB6-120B-48B4-9500-EA1F7128B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44" name="Check Box 78">
          <a:extLst>
            <a:ext uri="{FF2B5EF4-FFF2-40B4-BE49-F238E27FC236}">
              <a16:creationId xmlns:a16="http://schemas.microsoft.com/office/drawing/2014/main" id="{C135E21D-94D3-41B0-A9D0-8F175442D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45" name="Check Box 78">
          <a:extLst>
            <a:ext uri="{FF2B5EF4-FFF2-40B4-BE49-F238E27FC236}">
              <a16:creationId xmlns:a16="http://schemas.microsoft.com/office/drawing/2014/main" id="{C9CC1411-3882-4EE1-BC83-798EB0069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46" name="Check Box 78">
          <a:extLst>
            <a:ext uri="{FF2B5EF4-FFF2-40B4-BE49-F238E27FC236}">
              <a16:creationId xmlns:a16="http://schemas.microsoft.com/office/drawing/2014/main" id="{A870FABB-7A21-4DB3-863C-132B87F6F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47" name="Check Box 78">
          <a:extLst>
            <a:ext uri="{FF2B5EF4-FFF2-40B4-BE49-F238E27FC236}">
              <a16:creationId xmlns:a16="http://schemas.microsoft.com/office/drawing/2014/main" id="{A8804C9C-5870-4F9C-A406-19274FE5E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48" name="Check Box 78">
          <a:extLst>
            <a:ext uri="{FF2B5EF4-FFF2-40B4-BE49-F238E27FC236}">
              <a16:creationId xmlns:a16="http://schemas.microsoft.com/office/drawing/2014/main" id="{83964679-A57C-4CF9-B6FD-6DA653EB4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49" name="Check Box 78">
          <a:extLst>
            <a:ext uri="{FF2B5EF4-FFF2-40B4-BE49-F238E27FC236}">
              <a16:creationId xmlns:a16="http://schemas.microsoft.com/office/drawing/2014/main" id="{20B993CD-247C-4620-BA99-9B9D8C73B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50" name="Check Box 78">
          <a:extLst>
            <a:ext uri="{FF2B5EF4-FFF2-40B4-BE49-F238E27FC236}">
              <a16:creationId xmlns:a16="http://schemas.microsoft.com/office/drawing/2014/main" id="{A20C5D39-3441-4340-A423-0575B008B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151" name="Check Box 78">
          <a:extLst>
            <a:ext uri="{FF2B5EF4-FFF2-40B4-BE49-F238E27FC236}">
              <a16:creationId xmlns:a16="http://schemas.microsoft.com/office/drawing/2014/main" id="{CD7F2955-2A00-453D-A872-E8E5E16A2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4100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1105354</xdr:colOff>
      <xdr:row>8</xdr:row>
      <xdr:rowOff>63953</xdr:rowOff>
    </xdr:from>
    <xdr:to>
      <xdr:col>2</xdr:col>
      <xdr:colOff>1105354</xdr:colOff>
      <xdr:row>9</xdr:row>
      <xdr:rowOff>9071</xdr:rowOff>
    </xdr:to>
    <xdr:pic>
      <xdr:nvPicPr>
        <xdr:cNvPr id="152" name="Check Box 78">
          <a:extLst>
            <a:ext uri="{FF2B5EF4-FFF2-40B4-BE49-F238E27FC236}">
              <a16:creationId xmlns:a16="http://schemas.microsoft.com/office/drawing/2014/main" id="{DE049740-F677-462B-9359-138556BC6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3254" y="4794703"/>
          <a:ext cx="0" cy="275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1105354</xdr:colOff>
      <xdr:row>8</xdr:row>
      <xdr:rowOff>63953</xdr:rowOff>
    </xdr:from>
    <xdr:to>
      <xdr:col>2</xdr:col>
      <xdr:colOff>1105354</xdr:colOff>
      <xdr:row>9</xdr:row>
      <xdr:rowOff>9071</xdr:rowOff>
    </xdr:to>
    <xdr:pic>
      <xdr:nvPicPr>
        <xdr:cNvPr id="153" name="Check Box 78">
          <a:extLst>
            <a:ext uri="{FF2B5EF4-FFF2-40B4-BE49-F238E27FC236}">
              <a16:creationId xmlns:a16="http://schemas.microsoft.com/office/drawing/2014/main" id="{3872AE89-965E-46A8-B995-F352893FF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3254" y="4794703"/>
          <a:ext cx="0" cy="275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54" name="Check Box 78">
          <a:extLst>
            <a:ext uri="{FF2B5EF4-FFF2-40B4-BE49-F238E27FC236}">
              <a16:creationId xmlns:a16="http://schemas.microsoft.com/office/drawing/2014/main" id="{B9EF934D-1736-401C-9B94-B34A0C0BF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55" name="Check Box 78">
          <a:extLst>
            <a:ext uri="{FF2B5EF4-FFF2-40B4-BE49-F238E27FC236}">
              <a16:creationId xmlns:a16="http://schemas.microsoft.com/office/drawing/2014/main" id="{ADE16711-66B5-4287-A721-FD687F610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56" name="Check Box 78">
          <a:extLst>
            <a:ext uri="{FF2B5EF4-FFF2-40B4-BE49-F238E27FC236}">
              <a16:creationId xmlns:a16="http://schemas.microsoft.com/office/drawing/2014/main" id="{65E5FDEC-78B1-40A7-9BF1-AA61C530F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57" name="Check Box 78">
          <a:extLst>
            <a:ext uri="{FF2B5EF4-FFF2-40B4-BE49-F238E27FC236}">
              <a16:creationId xmlns:a16="http://schemas.microsoft.com/office/drawing/2014/main" id="{4F59763A-3E4D-42E9-8EEC-333DE8C6F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58" name="Check Box 78">
          <a:extLst>
            <a:ext uri="{FF2B5EF4-FFF2-40B4-BE49-F238E27FC236}">
              <a16:creationId xmlns:a16="http://schemas.microsoft.com/office/drawing/2014/main" id="{E4364EF8-464C-43FA-AC76-EE8C76C46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59" name="Check Box 78">
          <a:extLst>
            <a:ext uri="{FF2B5EF4-FFF2-40B4-BE49-F238E27FC236}">
              <a16:creationId xmlns:a16="http://schemas.microsoft.com/office/drawing/2014/main" id="{C69E1D5A-3CC9-4A78-BBDF-C54FC06D0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60" name="Check Box 78">
          <a:extLst>
            <a:ext uri="{FF2B5EF4-FFF2-40B4-BE49-F238E27FC236}">
              <a16:creationId xmlns:a16="http://schemas.microsoft.com/office/drawing/2014/main" id="{429B50C5-7EB6-4824-B27A-52DCEADF1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61" name="Check Box 78">
          <a:extLst>
            <a:ext uri="{FF2B5EF4-FFF2-40B4-BE49-F238E27FC236}">
              <a16:creationId xmlns:a16="http://schemas.microsoft.com/office/drawing/2014/main" id="{CF9A3EFD-0BB1-46B0-9E4D-3D6DB80DA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62" name="Check Box 78">
          <a:extLst>
            <a:ext uri="{FF2B5EF4-FFF2-40B4-BE49-F238E27FC236}">
              <a16:creationId xmlns:a16="http://schemas.microsoft.com/office/drawing/2014/main" id="{0EB86922-7056-4307-971F-7BDD7D5B1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63" name="Check Box 78">
          <a:extLst>
            <a:ext uri="{FF2B5EF4-FFF2-40B4-BE49-F238E27FC236}">
              <a16:creationId xmlns:a16="http://schemas.microsoft.com/office/drawing/2014/main" id="{AE54D39E-F1CA-4616-B849-E2021571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64" name="Check Box 78">
          <a:extLst>
            <a:ext uri="{FF2B5EF4-FFF2-40B4-BE49-F238E27FC236}">
              <a16:creationId xmlns:a16="http://schemas.microsoft.com/office/drawing/2014/main" id="{926EB4FB-E925-4312-A94D-97378C6C0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65" name="Check Box 78">
          <a:extLst>
            <a:ext uri="{FF2B5EF4-FFF2-40B4-BE49-F238E27FC236}">
              <a16:creationId xmlns:a16="http://schemas.microsoft.com/office/drawing/2014/main" id="{702E446E-3652-42BA-A8C2-3A0C6FF13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66" name="Check Box 78">
          <a:extLst>
            <a:ext uri="{FF2B5EF4-FFF2-40B4-BE49-F238E27FC236}">
              <a16:creationId xmlns:a16="http://schemas.microsoft.com/office/drawing/2014/main" id="{43A89708-F523-4FFC-A18B-687369A2C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67" name="Check Box 78">
          <a:extLst>
            <a:ext uri="{FF2B5EF4-FFF2-40B4-BE49-F238E27FC236}">
              <a16:creationId xmlns:a16="http://schemas.microsoft.com/office/drawing/2014/main" id="{39664D22-7DAF-4B6F-8CB9-9E57D656B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68" name="Check Box 78">
          <a:extLst>
            <a:ext uri="{FF2B5EF4-FFF2-40B4-BE49-F238E27FC236}">
              <a16:creationId xmlns:a16="http://schemas.microsoft.com/office/drawing/2014/main" id="{6B6B8820-58F0-4541-AF8C-43E11520C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69" name="Check Box 78">
          <a:extLst>
            <a:ext uri="{FF2B5EF4-FFF2-40B4-BE49-F238E27FC236}">
              <a16:creationId xmlns:a16="http://schemas.microsoft.com/office/drawing/2014/main" id="{4BC8F9F4-E7D6-4166-91B2-39BBAC5EA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70" name="Check Box 78">
          <a:extLst>
            <a:ext uri="{FF2B5EF4-FFF2-40B4-BE49-F238E27FC236}">
              <a16:creationId xmlns:a16="http://schemas.microsoft.com/office/drawing/2014/main" id="{E2F915E9-A73D-4E39-9709-9954A571B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71" name="Check Box 78">
          <a:extLst>
            <a:ext uri="{FF2B5EF4-FFF2-40B4-BE49-F238E27FC236}">
              <a16:creationId xmlns:a16="http://schemas.microsoft.com/office/drawing/2014/main" id="{D87D0467-AFD0-4C1A-A6C3-97E7A8E8D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72" name="Check Box 78">
          <a:extLst>
            <a:ext uri="{FF2B5EF4-FFF2-40B4-BE49-F238E27FC236}">
              <a16:creationId xmlns:a16="http://schemas.microsoft.com/office/drawing/2014/main" id="{0E7191D9-1ABA-4AF3-8E25-A78025DCB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73" name="Check Box 78">
          <a:extLst>
            <a:ext uri="{FF2B5EF4-FFF2-40B4-BE49-F238E27FC236}">
              <a16:creationId xmlns:a16="http://schemas.microsoft.com/office/drawing/2014/main" id="{B5D0F639-6DAF-4A89-B41F-39421E390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74" name="Check Box 78">
          <a:extLst>
            <a:ext uri="{FF2B5EF4-FFF2-40B4-BE49-F238E27FC236}">
              <a16:creationId xmlns:a16="http://schemas.microsoft.com/office/drawing/2014/main" id="{7D90E05A-DC37-4229-B237-73D465DA6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75" name="Check Box 78">
          <a:extLst>
            <a:ext uri="{FF2B5EF4-FFF2-40B4-BE49-F238E27FC236}">
              <a16:creationId xmlns:a16="http://schemas.microsoft.com/office/drawing/2014/main" id="{362841F1-7CEB-43AE-9FC7-CDE2FD6F0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76" name="Check Box 78">
          <a:extLst>
            <a:ext uri="{FF2B5EF4-FFF2-40B4-BE49-F238E27FC236}">
              <a16:creationId xmlns:a16="http://schemas.microsoft.com/office/drawing/2014/main" id="{FB3A4057-87ED-493E-8FF2-26ECF7D9A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77" name="Check Box 78">
          <a:extLst>
            <a:ext uri="{FF2B5EF4-FFF2-40B4-BE49-F238E27FC236}">
              <a16:creationId xmlns:a16="http://schemas.microsoft.com/office/drawing/2014/main" id="{C040A120-63C1-48B2-9D89-4CC7638CA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78" name="Check Box 78">
          <a:extLst>
            <a:ext uri="{FF2B5EF4-FFF2-40B4-BE49-F238E27FC236}">
              <a16:creationId xmlns:a16="http://schemas.microsoft.com/office/drawing/2014/main" id="{69E49E20-678D-48EA-B137-57CDCEB97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79" name="Check Box 78">
          <a:extLst>
            <a:ext uri="{FF2B5EF4-FFF2-40B4-BE49-F238E27FC236}">
              <a16:creationId xmlns:a16="http://schemas.microsoft.com/office/drawing/2014/main" id="{817BB587-3CFD-46C9-8159-10B74ACF2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80" name="Check Box 78">
          <a:extLst>
            <a:ext uri="{FF2B5EF4-FFF2-40B4-BE49-F238E27FC236}">
              <a16:creationId xmlns:a16="http://schemas.microsoft.com/office/drawing/2014/main" id="{BCEE5A51-CC32-4CF5-8039-BC0B07F30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81" name="Check Box 78">
          <a:extLst>
            <a:ext uri="{FF2B5EF4-FFF2-40B4-BE49-F238E27FC236}">
              <a16:creationId xmlns:a16="http://schemas.microsoft.com/office/drawing/2014/main" id="{B22DEB25-6D15-4835-907B-583DAE495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82" name="Check Box 78">
          <a:extLst>
            <a:ext uri="{FF2B5EF4-FFF2-40B4-BE49-F238E27FC236}">
              <a16:creationId xmlns:a16="http://schemas.microsoft.com/office/drawing/2014/main" id="{9528D1C9-8428-4987-BBD4-D17727342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83" name="Check Box 78">
          <a:extLst>
            <a:ext uri="{FF2B5EF4-FFF2-40B4-BE49-F238E27FC236}">
              <a16:creationId xmlns:a16="http://schemas.microsoft.com/office/drawing/2014/main" id="{AA469A07-476D-4CA2-A400-A0C8510A1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84" name="Check Box 78">
          <a:extLst>
            <a:ext uri="{FF2B5EF4-FFF2-40B4-BE49-F238E27FC236}">
              <a16:creationId xmlns:a16="http://schemas.microsoft.com/office/drawing/2014/main" id="{E6A3E89F-DBB3-4F19-B5E1-0DCC8C247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85" name="Check Box 78">
          <a:extLst>
            <a:ext uri="{FF2B5EF4-FFF2-40B4-BE49-F238E27FC236}">
              <a16:creationId xmlns:a16="http://schemas.microsoft.com/office/drawing/2014/main" id="{6DF97F09-DDEF-475E-B185-DD9A81BDB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86" name="Check Box 78">
          <a:extLst>
            <a:ext uri="{FF2B5EF4-FFF2-40B4-BE49-F238E27FC236}">
              <a16:creationId xmlns:a16="http://schemas.microsoft.com/office/drawing/2014/main" id="{03BAE0C6-2FFB-4F82-B9D6-3AA4023B0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87" name="Check Box 78">
          <a:extLst>
            <a:ext uri="{FF2B5EF4-FFF2-40B4-BE49-F238E27FC236}">
              <a16:creationId xmlns:a16="http://schemas.microsoft.com/office/drawing/2014/main" id="{10EFD7D2-F52E-45B8-806F-9F6955BEB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88" name="Check Box 78">
          <a:extLst>
            <a:ext uri="{FF2B5EF4-FFF2-40B4-BE49-F238E27FC236}">
              <a16:creationId xmlns:a16="http://schemas.microsoft.com/office/drawing/2014/main" id="{9F398F59-4CE6-4A86-82D6-C840A71EE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89" name="Check Box 78">
          <a:extLst>
            <a:ext uri="{FF2B5EF4-FFF2-40B4-BE49-F238E27FC236}">
              <a16:creationId xmlns:a16="http://schemas.microsoft.com/office/drawing/2014/main" id="{EAE74C8A-631C-4EC2-B77B-C58BC05A0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90" name="Check Box 78">
          <a:extLst>
            <a:ext uri="{FF2B5EF4-FFF2-40B4-BE49-F238E27FC236}">
              <a16:creationId xmlns:a16="http://schemas.microsoft.com/office/drawing/2014/main" id="{94D80840-7D8A-4540-828C-5F827E467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91" name="Check Box 78">
          <a:extLst>
            <a:ext uri="{FF2B5EF4-FFF2-40B4-BE49-F238E27FC236}">
              <a16:creationId xmlns:a16="http://schemas.microsoft.com/office/drawing/2014/main" id="{AAE9BCB2-0441-4925-909A-669192A9A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92" name="Check Box 78">
          <a:extLst>
            <a:ext uri="{FF2B5EF4-FFF2-40B4-BE49-F238E27FC236}">
              <a16:creationId xmlns:a16="http://schemas.microsoft.com/office/drawing/2014/main" id="{649E0604-34CC-444B-A603-7490F05F0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93" name="Check Box 78">
          <a:extLst>
            <a:ext uri="{FF2B5EF4-FFF2-40B4-BE49-F238E27FC236}">
              <a16:creationId xmlns:a16="http://schemas.microsoft.com/office/drawing/2014/main" id="{587DDA4F-6C2C-476B-9420-4F1B1ACF0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94" name="Check Box 78">
          <a:extLst>
            <a:ext uri="{FF2B5EF4-FFF2-40B4-BE49-F238E27FC236}">
              <a16:creationId xmlns:a16="http://schemas.microsoft.com/office/drawing/2014/main" id="{F5C0AF2A-7C0F-4F6D-915D-DEFAC3325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95" name="Check Box 78">
          <a:extLst>
            <a:ext uri="{FF2B5EF4-FFF2-40B4-BE49-F238E27FC236}">
              <a16:creationId xmlns:a16="http://schemas.microsoft.com/office/drawing/2014/main" id="{AD35DB28-E77B-45A0-9BF0-F83708ACC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96" name="Check Box 78">
          <a:extLst>
            <a:ext uri="{FF2B5EF4-FFF2-40B4-BE49-F238E27FC236}">
              <a16:creationId xmlns:a16="http://schemas.microsoft.com/office/drawing/2014/main" id="{8CEE5276-FBAF-400E-80D2-030E38FD1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97" name="Check Box 78">
          <a:extLst>
            <a:ext uri="{FF2B5EF4-FFF2-40B4-BE49-F238E27FC236}">
              <a16:creationId xmlns:a16="http://schemas.microsoft.com/office/drawing/2014/main" id="{AB6F8136-26FC-409D-9F46-32AC5075D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98" name="Check Box 78">
          <a:extLst>
            <a:ext uri="{FF2B5EF4-FFF2-40B4-BE49-F238E27FC236}">
              <a16:creationId xmlns:a16="http://schemas.microsoft.com/office/drawing/2014/main" id="{0872A6A8-5D03-4808-8C96-C2086EA55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199" name="Check Box 78">
          <a:extLst>
            <a:ext uri="{FF2B5EF4-FFF2-40B4-BE49-F238E27FC236}">
              <a16:creationId xmlns:a16="http://schemas.microsoft.com/office/drawing/2014/main" id="{6A784980-E398-44F0-997E-A5C6D3D41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00" name="Check Box 78">
          <a:extLst>
            <a:ext uri="{FF2B5EF4-FFF2-40B4-BE49-F238E27FC236}">
              <a16:creationId xmlns:a16="http://schemas.microsoft.com/office/drawing/2014/main" id="{D97E90B0-44B0-4E7C-AECE-9DC479851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01" name="Check Box 78">
          <a:extLst>
            <a:ext uri="{FF2B5EF4-FFF2-40B4-BE49-F238E27FC236}">
              <a16:creationId xmlns:a16="http://schemas.microsoft.com/office/drawing/2014/main" id="{B44F5D2D-8910-4EE6-BDFC-DE931C608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02" name="Check Box 78">
          <a:extLst>
            <a:ext uri="{FF2B5EF4-FFF2-40B4-BE49-F238E27FC236}">
              <a16:creationId xmlns:a16="http://schemas.microsoft.com/office/drawing/2014/main" id="{5C467FA6-EA3C-4DC6-9159-BE35A67F2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03" name="Check Box 78">
          <a:extLst>
            <a:ext uri="{FF2B5EF4-FFF2-40B4-BE49-F238E27FC236}">
              <a16:creationId xmlns:a16="http://schemas.microsoft.com/office/drawing/2014/main" id="{B80565CF-D22D-4F53-AA19-CE71093F8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04" name="Check Box 78">
          <a:extLst>
            <a:ext uri="{FF2B5EF4-FFF2-40B4-BE49-F238E27FC236}">
              <a16:creationId xmlns:a16="http://schemas.microsoft.com/office/drawing/2014/main" id="{C98E0294-3BBC-4106-B102-9D19BFB68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05" name="Check Box 78">
          <a:extLst>
            <a:ext uri="{FF2B5EF4-FFF2-40B4-BE49-F238E27FC236}">
              <a16:creationId xmlns:a16="http://schemas.microsoft.com/office/drawing/2014/main" id="{1D9B2FC5-DF72-461F-91B3-869705DA6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06" name="Check Box 78">
          <a:extLst>
            <a:ext uri="{FF2B5EF4-FFF2-40B4-BE49-F238E27FC236}">
              <a16:creationId xmlns:a16="http://schemas.microsoft.com/office/drawing/2014/main" id="{E5AF8EC3-9422-4D6F-AEA5-313A24A9B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07" name="Check Box 78">
          <a:extLst>
            <a:ext uri="{FF2B5EF4-FFF2-40B4-BE49-F238E27FC236}">
              <a16:creationId xmlns:a16="http://schemas.microsoft.com/office/drawing/2014/main" id="{DAF7A820-9F82-4B52-A83A-92F9595E8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08" name="Check Box 78">
          <a:extLst>
            <a:ext uri="{FF2B5EF4-FFF2-40B4-BE49-F238E27FC236}">
              <a16:creationId xmlns:a16="http://schemas.microsoft.com/office/drawing/2014/main" id="{ED7082BD-ADFE-4E49-90DB-8885F9494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09" name="Check Box 78">
          <a:extLst>
            <a:ext uri="{FF2B5EF4-FFF2-40B4-BE49-F238E27FC236}">
              <a16:creationId xmlns:a16="http://schemas.microsoft.com/office/drawing/2014/main" id="{BDC90568-988B-4702-9B11-30ED239CC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10" name="Check Box 78">
          <a:extLst>
            <a:ext uri="{FF2B5EF4-FFF2-40B4-BE49-F238E27FC236}">
              <a16:creationId xmlns:a16="http://schemas.microsoft.com/office/drawing/2014/main" id="{B1BED9F1-A74A-46BC-8CD5-1C41C72FE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11" name="Check Box 78">
          <a:extLst>
            <a:ext uri="{FF2B5EF4-FFF2-40B4-BE49-F238E27FC236}">
              <a16:creationId xmlns:a16="http://schemas.microsoft.com/office/drawing/2014/main" id="{EF2E2312-A6DF-4F0B-A596-C864A3B0D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12" name="Check Box 78">
          <a:extLst>
            <a:ext uri="{FF2B5EF4-FFF2-40B4-BE49-F238E27FC236}">
              <a16:creationId xmlns:a16="http://schemas.microsoft.com/office/drawing/2014/main" id="{5486E3F2-7A1B-48EA-830D-764AA2124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8</xdr:row>
      <xdr:rowOff>9525</xdr:rowOff>
    </xdr:from>
    <xdr:to>
      <xdr:col>2</xdr:col>
      <xdr:colOff>1066800</xdr:colOff>
      <xdr:row>8</xdr:row>
      <xdr:rowOff>190500</xdr:rowOff>
    </xdr:to>
    <xdr:pic>
      <xdr:nvPicPr>
        <xdr:cNvPr id="213" name="Check Box 78">
          <a:extLst>
            <a:ext uri="{FF2B5EF4-FFF2-40B4-BE49-F238E27FC236}">
              <a16:creationId xmlns:a16="http://schemas.microsoft.com/office/drawing/2014/main" id="{B1F17E4C-6DC8-43C4-8EDD-E689322F1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47402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1105354</xdr:colOff>
      <xdr:row>8</xdr:row>
      <xdr:rowOff>63953</xdr:rowOff>
    </xdr:from>
    <xdr:to>
      <xdr:col>2</xdr:col>
      <xdr:colOff>1105354</xdr:colOff>
      <xdr:row>9</xdr:row>
      <xdr:rowOff>9071</xdr:rowOff>
    </xdr:to>
    <xdr:pic>
      <xdr:nvPicPr>
        <xdr:cNvPr id="214" name="Check Box 78">
          <a:extLst>
            <a:ext uri="{FF2B5EF4-FFF2-40B4-BE49-F238E27FC236}">
              <a16:creationId xmlns:a16="http://schemas.microsoft.com/office/drawing/2014/main" id="{A218DA41-6927-4512-AF50-2A33B6C2C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3254" y="4794703"/>
          <a:ext cx="0" cy="275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1105354</xdr:colOff>
      <xdr:row>9</xdr:row>
      <xdr:rowOff>63953</xdr:rowOff>
    </xdr:from>
    <xdr:to>
      <xdr:col>2</xdr:col>
      <xdr:colOff>1105354</xdr:colOff>
      <xdr:row>10</xdr:row>
      <xdr:rowOff>9071</xdr:rowOff>
    </xdr:to>
    <xdr:pic>
      <xdr:nvPicPr>
        <xdr:cNvPr id="216" name="Check Box 78">
          <a:extLst>
            <a:ext uri="{FF2B5EF4-FFF2-40B4-BE49-F238E27FC236}">
              <a16:creationId xmlns:a16="http://schemas.microsoft.com/office/drawing/2014/main" id="{41683E0E-ED2B-4461-8A8E-C77CA8365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3254" y="5124903"/>
          <a:ext cx="0" cy="275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28615</xdr:colOff>
      <xdr:row>8</xdr:row>
      <xdr:rowOff>160583</xdr:rowOff>
    </xdr:from>
    <xdr:to>
      <xdr:col>5</xdr:col>
      <xdr:colOff>28615</xdr:colOff>
      <xdr:row>9</xdr:row>
      <xdr:rowOff>105701</xdr:rowOff>
    </xdr:to>
    <xdr:pic>
      <xdr:nvPicPr>
        <xdr:cNvPr id="217" name="Check Box 78">
          <a:extLst>
            <a:ext uri="{FF2B5EF4-FFF2-40B4-BE49-F238E27FC236}">
              <a16:creationId xmlns:a16="http://schemas.microsoft.com/office/drawing/2014/main" id="{AD8F1275-C528-43E4-AEA1-0E3B28C40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376" y="4909279"/>
          <a:ext cx="0" cy="2764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20</xdr:row>
      <xdr:rowOff>9525</xdr:rowOff>
    </xdr:from>
    <xdr:to>
      <xdr:col>2</xdr:col>
      <xdr:colOff>1066800</xdr:colOff>
      <xdr:row>20</xdr:row>
      <xdr:rowOff>190500</xdr:rowOff>
    </xdr:to>
    <xdr:pic>
      <xdr:nvPicPr>
        <xdr:cNvPr id="218" name="Check Box 78">
          <a:extLst>
            <a:ext uri="{FF2B5EF4-FFF2-40B4-BE49-F238E27FC236}">
              <a16:creationId xmlns:a16="http://schemas.microsoft.com/office/drawing/2014/main" id="{5AE0BC43-5F69-4123-B8F6-2F7A0570D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85185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20</xdr:row>
      <xdr:rowOff>9525</xdr:rowOff>
    </xdr:from>
    <xdr:to>
      <xdr:col>2</xdr:col>
      <xdr:colOff>1066800</xdr:colOff>
      <xdr:row>20</xdr:row>
      <xdr:rowOff>190500</xdr:rowOff>
    </xdr:to>
    <xdr:pic>
      <xdr:nvPicPr>
        <xdr:cNvPr id="219" name="Check Box 78">
          <a:extLst>
            <a:ext uri="{FF2B5EF4-FFF2-40B4-BE49-F238E27FC236}">
              <a16:creationId xmlns:a16="http://schemas.microsoft.com/office/drawing/2014/main" id="{396169CC-C221-4D91-8DFA-9A993C88C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85185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20</xdr:row>
      <xdr:rowOff>9525</xdr:rowOff>
    </xdr:from>
    <xdr:to>
      <xdr:col>2</xdr:col>
      <xdr:colOff>1066800</xdr:colOff>
      <xdr:row>20</xdr:row>
      <xdr:rowOff>190500</xdr:rowOff>
    </xdr:to>
    <xdr:pic>
      <xdr:nvPicPr>
        <xdr:cNvPr id="220" name="Check Box 78">
          <a:extLst>
            <a:ext uri="{FF2B5EF4-FFF2-40B4-BE49-F238E27FC236}">
              <a16:creationId xmlns:a16="http://schemas.microsoft.com/office/drawing/2014/main" id="{F6451F6C-C6B6-4E67-A098-2C1E2F07E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85185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20</xdr:row>
      <xdr:rowOff>9525</xdr:rowOff>
    </xdr:from>
    <xdr:to>
      <xdr:col>2</xdr:col>
      <xdr:colOff>1066800</xdr:colOff>
      <xdr:row>20</xdr:row>
      <xdr:rowOff>190500</xdr:rowOff>
    </xdr:to>
    <xdr:pic>
      <xdr:nvPicPr>
        <xdr:cNvPr id="221" name="Check Box 78">
          <a:extLst>
            <a:ext uri="{FF2B5EF4-FFF2-40B4-BE49-F238E27FC236}">
              <a16:creationId xmlns:a16="http://schemas.microsoft.com/office/drawing/2014/main" id="{10EE2CD0-3278-4459-81B7-E9BA0972A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85185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20</xdr:row>
      <xdr:rowOff>9525</xdr:rowOff>
    </xdr:from>
    <xdr:to>
      <xdr:col>2</xdr:col>
      <xdr:colOff>1066800</xdr:colOff>
      <xdr:row>20</xdr:row>
      <xdr:rowOff>190500</xdr:rowOff>
    </xdr:to>
    <xdr:pic>
      <xdr:nvPicPr>
        <xdr:cNvPr id="222" name="Check Box 78">
          <a:extLst>
            <a:ext uri="{FF2B5EF4-FFF2-40B4-BE49-F238E27FC236}">
              <a16:creationId xmlns:a16="http://schemas.microsoft.com/office/drawing/2014/main" id="{49F5C465-D765-423B-BDCE-9912BED40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85185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20</xdr:row>
      <xdr:rowOff>9525</xdr:rowOff>
    </xdr:from>
    <xdr:to>
      <xdr:col>2</xdr:col>
      <xdr:colOff>1066800</xdr:colOff>
      <xdr:row>20</xdr:row>
      <xdr:rowOff>190500</xdr:rowOff>
    </xdr:to>
    <xdr:pic>
      <xdr:nvPicPr>
        <xdr:cNvPr id="223" name="Check Box 78">
          <a:extLst>
            <a:ext uri="{FF2B5EF4-FFF2-40B4-BE49-F238E27FC236}">
              <a16:creationId xmlns:a16="http://schemas.microsoft.com/office/drawing/2014/main" id="{382FEB5B-9285-4314-A4A9-D365571C5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85185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20</xdr:row>
      <xdr:rowOff>9525</xdr:rowOff>
    </xdr:from>
    <xdr:to>
      <xdr:col>2</xdr:col>
      <xdr:colOff>1066800</xdr:colOff>
      <xdr:row>20</xdr:row>
      <xdr:rowOff>190500</xdr:rowOff>
    </xdr:to>
    <xdr:pic>
      <xdr:nvPicPr>
        <xdr:cNvPr id="224" name="Check Box 78">
          <a:extLst>
            <a:ext uri="{FF2B5EF4-FFF2-40B4-BE49-F238E27FC236}">
              <a16:creationId xmlns:a16="http://schemas.microsoft.com/office/drawing/2014/main" id="{77E4B0A0-D496-48DB-BE9E-A0F5F3455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85185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20</xdr:row>
      <xdr:rowOff>9525</xdr:rowOff>
    </xdr:from>
    <xdr:to>
      <xdr:col>2</xdr:col>
      <xdr:colOff>1066800</xdr:colOff>
      <xdr:row>20</xdr:row>
      <xdr:rowOff>190500</xdr:rowOff>
    </xdr:to>
    <xdr:pic>
      <xdr:nvPicPr>
        <xdr:cNvPr id="225" name="Check Box 78">
          <a:extLst>
            <a:ext uri="{FF2B5EF4-FFF2-40B4-BE49-F238E27FC236}">
              <a16:creationId xmlns:a16="http://schemas.microsoft.com/office/drawing/2014/main" id="{3D643065-070F-45BD-B0F1-109ECB842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85185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20</xdr:row>
      <xdr:rowOff>9525</xdr:rowOff>
    </xdr:from>
    <xdr:to>
      <xdr:col>2</xdr:col>
      <xdr:colOff>1066800</xdr:colOff>
      <xdr:row>20</xdr:row>
      <xdr:rowOff>190500</xdr:rowOff>
    </xdr:to>
    <xdr:pic>
      <xdr:nvPicPr>
        <xdr:cNvPr id="226" name="Check Box 78">
          <a:extLst>
            <a:ext uri="{FF2B5EF4-FFF2-40B4-BE49-F238E27FC236}">
              <a16:creationId xmlns:a16="http://schemas.microsoft.com/office/drawing/2014/main" id="{52C75703-9952-4C0D-9A28-AA18BED20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85185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20</xdr:row>
      <xdr:rowOff>9525</xdr:rowOff>
    </xdr:from>
    <xdr:to>
      <xdr:col>2</xdr:col>
      <xdr:colOff>1066800</xdr:colOff>
      <xdr:row>20</xdr:row>
      <xdr:rowOff>190500</xdr:rowOff>
    </xdr:to>
    <xdr:pic>
      <xdr:nvPicPr>
        <xdr:cNvPr id="227" name="Check Box 78">
          <a:extLst>
            <a:ext uri="{FF2B5EF4-FFF2-40B4-BE49-F238E27FC236}">
              <a16:creationId xmlns:a16="http://schemas.microsoft.com/office/drawing/2014/main" id="{42C55BFC-CCBA-451B-8AD2-CEDC0186E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85185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20</xdr:row>
      <xdr:rowOff>9525</xdr:rowOff>
    </xdr:from>
    <xdr:to>
      <xdr:col>2</xdr:col>
      <xdr:colOff>1066800</xdr:colOff>
      <xdr:row>20</xdr:row>
      <xdr:rowOff>190500</xdr:rowOff>
    </xdr:to>
    <xdr:pic>
      <xdr:nvPicPr>
        <xdr:cNvPr id="228" name="Check Box 78">
          <a:extLst>
            <a:ext uri="{FF2B5EF4-FFF2-40B4-BE49-F238E27FC236}">
              <a16:creationId xmlns:a16="http://schemas.microsoft.com/office/drawing/2014/main" id="{352AEF1F-DA4F-4EAA-9AB8-FDB857635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2325" y="851852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15" name="Check Box 78">
          <a:extLst>
            <a:ext uri="{FF2B5EF4-FFF2-40B4-BE49-F238E27FC236}">
              <a16:creationId xmlns:a16="http://schemas.microsoft.com/office/drawing/2014/main" id="{61C4A88D-DB2B-4DFD-9C53-45FCD327A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29" name="Check Box 78">
          <a:extLst>
            <a:ext uri="{FF2B5EF4-FFF2-40B4-BE49-F238E27FC236}">
              <a16:creationId xmlns:a16="http://schemas.microsoft.com/office/drawing/2014/main" id="{9C317A32-53AF-4046-88FD-BB82A73C3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31" name="Check Box 78">
          <a:extLst>
            <a:ext uri="{FF2B5EF4-FFF2-40B4-BE49-F238E27FC236}">
              <a16:creationId xmlns:a16="http://schemas.microsoft.com/office/drawing/2014/main" id="{E4786B51-36F5-4D2D-A78A-56B11A604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32" name="Check Box 78">
          <a:extLst>
            <a:ext uri="{FF2B5EF4-FFF2-40B4-BE49-F238E27FC236}">
              <a16:creationId xmlns:a16="http://schemas.microsoft.com/office/drawing/2014/main" id="{BDDEFC80-C40B-4093-BD2C-67FDC926E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33" name="Check Box 78">
          <a:extLst>
            <a:ext uri="{FF2B5EF4-FFF2-40B4-BE49-F238E27FC236}">
              <a16:creationId xmlns:a16="http://schemas.microsoft.com/office/drawing/2014/main" id="{56ADCFEE-FBFF-468C-B977-0DD32D202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34" name="Check Box 78">
          <a:extLst>
            <a:ext uri="{FF2B5EF4-FFF2-40B4-BE49-F238E27FC236}">
              <a16:creationId xmlns:a16="http://schemas.microsoft.com/office/drawing/2014/main" id="{2F517ED9-4A4A-4804-A7C2-790DF0C8E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35" name="Check Box 78">
          <a:extLst>
            <a:ext uri="{FF2B5EF4-FFF2-40B4-BE49-F238E27FC236}">
              <a16:creationId xmlns:a16="http://schemas.microsoft.com/office/drawing/2014/main" id="{DE48901E-B3BA-4B32-B8AB-06BBAA3D5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36" name="Check Box 78">
          <a:extLst>
            <a:ext uri="{FF2B5EF4-FFF2-40B4-BE49-F238E27FC236}">
              <a16:creationId xmlns:a16="http://schemas.microsoft.com/office/drawing/2014/main" id="{0AA7DF66-4FE8-40B8-82E3-DA6F49895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37" name="Check Box 78">
          <a:extLst>
            <a:ext uri="{FF2B5EF4-FFF2-40B4-BE49-F238E27FC236}">
              <a16:creationId xmlns:a16="http://schemas.microsoft.com/office/drawing/2014/main" id="{EF64EB0B-56A1-468D-9C65-1C731666B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38" name="Check Box 78">
          <a:extLst>
            <a:ext uri="{FF2B5EF4-FFF2-40B4-BE49-F238E27FC236}">
              <a16:creationId xmlns:a16="http://schemas.microsoft.com/office/drawing/2014/main" id="{B37CD5BF-06AF-4912-89C4-2DFB9C5F9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39" name="Check Box 78">
          <a:extLst>
            <a:ext uri="{FF2B5EF4-FFF2-40B4-BE49-F238E27FC236}">
              <a16:creationId xmlns:a16="http://schemas.microsoft.com/office/drawing/2014/main" id="{56849BFB-C644-4887-9877-B8488D4B4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3545806</xdr:colOff>
      <xdr:row>9</xdr:row>
      <xdr:rowOff>201695</xdr:rowOff>
    </xdr:from>
    <xdr:to>
      <xdr:col>0</xdr:col>
      <xdr:colOff>3545806</xdr:colOff>
      <xdr:row>10</xdr:row>
      <xdr:rowOff>157077</xdr:rowOff>
    </xdr:to>
    <xdr:pic>
      <xdr:nvPicPr>
        <xdr:cNvPr id="240" name="Check Box 78">
          <a:extLst>
            <a:ext uri="{FF2B5EF4-FFF2-40B4-BE49-F238E27FC236}">
              <a16:creationId xmlns:a16="http://schemas.microsoft.com/office/drawing/2014/main" id="{8F4D66CA-8BFC-4F06-963A-180EA82F7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5806" y="5526170"/>
          <a:ext cx="0" cy="2792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41" name="Check Box 78">
          <a:extLst>
            <a:ext uri="{FF2B5EF4-FFF2-40B4-BE49-F238E27FC236}">
              <a16:creationId xmlns:a16="http://schemas.microsoft.com/office/drawing/2014/main" id="{461C4457-F733-4F91-9CA9-8F9A4D659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42" name="Check Box 78">
          <a:extLst>
            <a:ext uri="{FF2B5EF4-FFF2-40B4-BE49-F238E27FC236}">
              <a16:creationId xmlns:a16="http://schemas.microsoft.com/office/drawing/2014/main" id="{9580866F-0E2F-41F3-9A5F-1C4D02F99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43" name="Check Box 78">
          <a:extLst>
            <a:ext uri="{FF2B5EF4-FFF2-40B4-BE49-F238E27FC236}">
              <a16:creationId xmlns:a16="http://schemas.microsoft.com/office/drawing/2014/main" id="{959CE1F2-A006-40B2-AB4E-E8CCF60F0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44" name="Check Box 78">
          <a:extLst>
            <a:ext uri="{FF2B5EF4-FFF2-40B4-BE49-F238E27FC236}">
              <a16:creationId xmlns:a16="http://schemas.microsoft.com/office/drawing/2014/main" id="{AFEEC3B5-9753-4E2D-8B3A-07A862BAD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45" name="Check Box 78">
          <a:extLst>
            <a:ext uri="{FF2B5EF4-FFF2-40B4-BE49-F238E27FC236}">
              <a16:creationId xmlns:a16="http://schemas.microsoft.com/office/drawing/2014/main" id="{A9DF5AF8-BB71-41EC-B683-C70118BD8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46" name="Check Box 78">
          <a:extLst>
            <a:ext uri="{FF2B5EF4-FFF2-40B4-BE49-F238E27FC236}">
              <a16:creationId xmlns:a16="http://schemas.microsoft.com/office/drawing/2014/main" id="{35D1F684-C976-4516-90A3-37AAEA253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47" name="Check Box 78">
          <a:extLst>
            <a:ext uri="{FF2B5EF4-FFF2-40B4-BE49-F238E27FC236}">
              <a16:creationId xmlns:a16="http://schemas.microsoft.com/office/drawing/2014/main" id="{17E62E1A-83BF-4886-B55B-D02E51720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48" name="Check Box 78">
          <a:extLst>
            <a:ext uri="{FF2B5EF4-FFF2-40B4-BE49-F238E27FC236}">
              <a16:creationId xmlns:a16="http://schemas.microsoft.com/office/drawing/2014/main" id="{71F8B88F-7489-4E4C-8E3B-9711A4298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49" name="Check Box 78">
          <a:extLst>
            <a:ext uri="{FF2B5EF4-FFF2-40B4-BE49-F238E27FC236}">
              <a16:creationId xmlns:a16="http://schemas.microsoft.com/office/drawing/2014/main" id="{80282008-C7A9-4E34-9C63-98A69DBD1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50" name="Check Box 78">
          <a:extLst>
            <a:ext uri="{FF2B5EF4-FFF2-40B4-BE49-F238E27FC236}">
              <a16:creationId xmlns:a16="http://schemas.microsoft.com/office/drawing/2014/main" id="{D5BE69D0-F834-4B03-B855-EB19B6D32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1114425</xdr:colOff>
      <xdr:row>7</xdr:row>
      <xdr:rowOff>9525</xdr:rowOff>
    </xdr:from>
    <xdr:to>
      <xdr:col>2</xdr:col>
      <xdr:colOff>1066800</xdr:colOff>
      <xdr:row>7</xdr:row>
      <xdr:rowOff>190500</xdr:rowOff>
    </xdr:to>
    <xdr:pic>
      <xdr:nvPicPr>
        <xdr:cNvPr id="251" name="Check Box 78">
          <a:extLst>
            <a:ext uri="{FF2B5EF4-FFF2-40B4-BE49-F238E27FC236}">
              <a16:creationId xmlns:a16="http://schemas.microsoft.com/office/drawing/2014/main" id="{FBC6F5E7-695E-471F-9800-8C305E4D2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46863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341"/>
  <sheetViews>
    <sheetView tabSelected="1" zoomScale="70" zoomScaleNormal="70" zoomScalePageLayoutView="70" workbookViewId="0">
      <selection activeCell="A12" sqref="A12"/>
    </sheetView>
  </sheetViews>
  <sheetFormatPr baseColWidth="10" defaultColWidth="11.42578125" defaultRowHeight="15" x14ac:dyDescent="0.25"/>
  <cols>
    <col min="1" max="1" width="68.140625" style="3" bestFit="1" customWidth="1"/>
    <col min="2" max="2" width="53.42578125" style="3" bestFit="1" customWidth="1"/>
    <col min="3" max="3" width="25.140625" style="1" bestFit="1" customWidth="1"/>
    <col min="4" max="4" width="19.85546875" style="1" bestFit="1" customWidth="1"/>
    <col min="5" max="5" width="22.7109375" style="1" bestFit="1" customWidth="1"/>
    <col min="6" max="6" width="24.140625" style="1" bestFit="1" customWidth="1"/>
    <col min="7" max="7" width="12.140625" style="1" bestFit="1" customWidth="1"/>
    <col min="8" max="8" width="28" style="1" bestFit="1" customWidth="1"/>
    <col min="9" max="10" width="11.140625" style="1" customWidth="1"/>
    <col min="11" max="12" width="9.42578125" style="1" customWidth="1"/>
    <col min="13" max="13" width="6.42578125" style="1" customWidth="1"/>
    <col min="14" max="14" width="6.42578125" style="2" customWidth="1"/>
    <col min="15" max="16" width="6.42578125" style="1" customWidth="1"/>
    <col min="17" max="17" width="6.140625" style="1" customWidth="1"/>
    <col min="18" max="18" width="13.42578125" style="1" customWidth="1"/>
    <col min="19" max="19" width="9.42578125" style="1" customWidth="1"/>
    <col min="20" max="20" width="10.140625" style="1" customWidth="1"/>
    <col min="21" max="21" width="11.140625" style="1" customWidth="1"/>
    <col min="22" max="22" width="17.140625" style="1" customWidth="1"/>
    <col min="23" max="23" width="15.28515625" style="1" customWidth="1"/>
    <col min="24" max="24" width="11.140625" style="1" customWidth="1"/>
    <col min="25" max="25" width="10.7109375" style="1" customWidth="1"/>
    <col min="26" max="26" width="11" style="1" customWidth="1"/>
    <col min="27" max="27" width="11.140625" style="1" customWidth="1"/>
    <col min="28" max="28" width="10.85546875" style="1" customWidth="1"/>
    <col min="29" max="29" width="2" style="3" customWidth="1"/>
    <col min="30" max="32" width="11.42578125" style="3"/>
    <col min="33" max="33" width="7.42578125" style="3" customWidth="1"/>
    <col min="34" max="16384" width="11.42578125" style="3"/>
  </cols>
  <sheetData>
    <row r="1" spans="1:32" ht="105.6" customHeight="1" thickBot="1" x14ac:dyDescent="0.65">
      <c r="A1" s="58" t="s">
        <v>0</v>
      </c>
      <c r="B1" s="195" t="s">
        <v>82</v>
      </c>
      <c r="C1" s="195"/>
      <c r="D1" s="195"/>
      <c r="E1" s="195"/>
      <c r="F1" s="196"/>
      <c r="G1" s="59"/>
      <c r="H1" s="60" t="s">
        <v>32</v>
      </c>
      <c r="I1" s="182" t="s">
        <v>52</v>
      </c>
      <c r="J1" s="182"/>
      <c r="K1" s="183" t="s">
        <v>38</v>
      </c>
      <c r="L1" s="183"/>
      <c r="M1" s="185" t="s">
        <v>39</v>
      </c>
      <c r="N1" s="185"/>
      <c r="O1" s="185"/>
      <c r="P1" s="186"/>
      <c r="Q1" s="179"/>
      <c r="R1" s="179"/>
      <c r="S1" s="61"/>
      <c r="T1" s="61"/>
      <c r="U1" s="61"/>
      <c r="V1" s="61"/>
      <c r="W1" s="61"/>
      <c r="X1" s="61"/>
      <c r="Y1" s="61"/>
      <c r="Z1" s="61"/>
      <c r="AA1" s="61"/>
      <c r="AB1" s="61"/>
      <c r="AC1" s="62"/>
    </row>
    <row r="2" spans="1:32" ht="33.6" customHeight="1" thickBot="1" x14ac:dyDescent="0.65">
      <c r="A2" s="63" t="s">
        <v>49</v>
      </c>
      <c r="B2" s="180" t="s">
        <v>81</v>
      </c>
      <c r="C2" s="181"/>
      <c r="D2" s="189" t="s">
        <v>80</v>
      </c>
      <c r="E2" s="190"/>
      <c r="F2" s="191"/>
      <c r="G2" s="64"/>
      <c r="H2" s="65">
        <v>440000</v>
      </c>
      <c r="I2" s="178">
        <f>SUM(H2/4)</f>
        <v>110000</v>
      </c>
      <c r="J2" s="178"/>
      <c r="K2" s="184">
        <v>40000</v>
      </c>
      <c r="L2" s="184"/>
      <c r="M2" s="187">
        <f>SUM(K2/4)</f>
        <v>10000</v>
      </c>
      <c r="N2" s="187"/>
      <c r="O2" s="187"/>
      <c r="P2" s="188"/>
      <c r="Q2" s="175"/>
      <c r="R2" s="175"/>
      <c r="S2" s="66"/>
      <c r="T2" s="66"/>
      <c r="U2" s="66"/>
      <c r="V2" s="66"/>
      <c r="W2" s="66"/>
      <c r="X2" s="66"/>
      <c r="Y2" s="66"/>
      <c r="Z2" s="66"/>
      <c r="AA2" s="66"/>
      <c r="AB2" s="66"/>
      <c r="AC2" s="67"/>
    </row>
    <row r="3" spans="1:32" ht="33.6" customHeight="1" thickBot="1" x14ac:dyDescent="0.65">
      <c r="A3" s="68" t="s">
        <v>1</v>
      </c>
      <c r="B3" s="176">
        <f ca="1">TODAY()</f>
        <v>46119</v>
      </c>
      <c r="C3" s="177"/>
      <c r="D3" s="192" t="s">
        <v>83</v>
      </c>
      <c r="E3" s="193"/>
      <c r="F3" s="194"/>
      <c r="G3" s="64"/>
      <c r="H3" s="64"/>
      <c r="I3" s="64"/>
      <c r="J3" s="64"/>
      <c r="K3" s="64"/>
      <c r="L3" s="64"/>
      <c r="M3" s="64"/>
      <c r="N3" s="69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7"/>
    </row>
    <row r="4" spans="1:32" ht="33.6" customHeight="1" thickBot="1" x14ac:dyDescent="0.65">
      <c r="A4" s="70"/>
      <c r="B4" s="71"/>
      <c r="C4" s="72"/>
      <c r="D4" s="72"/>
      <c r="E4" s="72"/>
      <c r="F4" s="72"/>
      <c r="G4" s="72"/>
      <c r="H4" s="72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73"/>
    </row>
    <row r="5" spans="1:32" ht="102" x14ac:dyDescent="0.25">
      <c r="A5" s="74" t="s">
        <v>2</v>
      </c>
      <c r="B5" s="75" t="s">
        <v>3</v>
      </c>
      <c r="C5" s="76" t="s">
        <v>77</v>
      </c>
      <c r="D5" s="76" t="s">
        <v>4</v>
      </c>
      <c r="E5" s="76" t="s">
        <v>29</v>
      </c>
      <c r="F5" s="76" t="s">
        <v>5</v>
      </c>
      <c r="G5" s="76" t="s">
        <v>6</v>
      </c>
      <c r="H5" s="77" t="s">
        <v>7</v>
      </c>
      <c r="I5" s="287" t="s">
        <v>37</v>
      </c>
      <c r="J5" s="287"/>
      <c r="K5" s="287"/>
      <c r="L5" s="287"/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  <c r="AC5" s="288"/>
    </row>
    <row r="6" spans="1:32" ht="8.85" customHeight="1" thickBot="1" x14ac:dyDescent="0.65">
      <c r="A6" s="78"/>
      <c r="B6" s="79"/>
      <c r="C6" s="80"/>
      <c r="D6" s="80"/>
      <c r="E6" s="80"/>
      <c r="F6" s="80"/>
      <c r="G6" s="80"/>
      <c r="H6" s="81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73"/>
    </row>
    <row r="7" spans="1:32" s="30" customFormat="1" ht="28.35" customHeight="1" thickBot="1" x14ac:dyDescent="0.3">
      <c r="A7" s="214" t="s">
        <v>78</v>
      </c>
      <c r="B7" s="215"/>
      <c r="C7" s="215"/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  <c r="AA7" s="215"/>
      <c r="AB7" s="215"/>
      <c r="AC7" s="82"/>
    </row>
    <row r="8" spans="1:32" ht="25.5" x14ac:dyDescent="0.6">
      <c r="A8" s="83" t="s">
        <v>84</v>
      </c>
      <c r="B8" s="117" t="s">
        <v>85</v>
      </c>
      <c r="C8" s="95" t="s">
        <v>86</v>
      </c>
      <c r="D8" s="95">
        <v>46142</v>
      </c>
      <c r="E8" s="95">
        <v>46203</v>
      </c>
      <c r="F8" s="119">
        <v>28000</v>
      </c>
      <c r="G8" s="87">
        <v>1</v>
      </c>
      <c r="H8" s="88">
        <f>SUM(F8/2*G8)</f>
        <v>14000</v>
      </c>
      <c r="I8" s="207" t="s">
        <v>53</v>
      </c>
      <c r="J8" s="207"/>
      <c r="K8" s="207" t="s">
        <v>66</v>
      </c>
      <c r="L8" s="207"/>
      <c r="M8" s="209" t="s">
        <v>33</v>
      </c>
      <c r="N8" s="209"/>
      <c r="O8" s="209"/>
      <c r="P8" s="209" t="s">
        <v>65</v>
      </c>
      <c r="Q8" s="209"/>
      <c r="R8" s="209"/>
      <c r="S8" s="89"/>
      <c r="T8" s="89"/>
      <c r="U8" s="89"/>
      <c r="V8" s="89"/>
      <c r="W8" s="203" t="s">
        <v>43</v>
      </c>
      <c r="X8" s="203"/>
      <c r="Y8" s="203" t="s">
        <v>60</v>
      </c>
      <c r="Z8" s="203"/>
      <c r="AA8" s="217" t="str">
        <f>IF(AA16&gt;=W16,"ok","Überzahlung")</f>
        <v>ok</v>
      </c>
      <c r="AB8" s="217"/>
      <c r="AC8" s="90"/>
    </row>
    <row r="9" spans="1:32" ht="25.5" x14ac:dyDescent="0.6">
      <c r="A9" s="83" t="s">
        <v>87</v>
      </c>
      <c r="B9" s="84" t="s">
        <v>88</v>
      </c>
      <c r="C9" s="95" t="s">
        <v>89</v>
      </c>
      <c r="D9" s="95">
        <v>46266</v>
      </c>
      <c r="E9" s="95">
        <v>46356</v>
      </c>
      <c r="F9" s="86">
        <v>49998</v>
      </c>
      <c r="G9" s="87">
        <v>1</v>
      </c>
      <c r="H9" s="92">
        <f t="shared" ref="H9:H27" si="0">SUM(F9/2*G9)</f>
        <v>24999</v>
      </c>
      <c r="I9" s="208"/>
      <c r="J9" s="208"/>
      <c r="K9" s="208"/>
      <c r="L9" s="208"/>
      <c r="M9" s="210"/>
      <c r="N9" s="210"/>
      <c r="O9" s="210"/>
      <c r="P9" s="210"/>
      <c r="Q9" s="210"/>
      <c r="R9" s="210"/>
      <c r="S9" s="93"/>
      <c r="T9" s="93"/>
      <c r="U9" s="93"/>
      <c r="V9" s="93"/>
      <c r="W9" s="204"/>
      <c r="X9" s="204"/>
      <c r="Y9" s="204"/>
      <c r="Z9" s="204"/>
      <c r="AA9" s="218"/>
      <c r="AB9" s="218"/>
      <c r="AC9" s="94"/>
    </row>
    <row r="10" spans="1:32" ht="25.5" x14ac:dyDescent="0.6">
      <c r="A10" s="83" t="s">
        <v>90</v>
      </c>
      <c r="B10" s="84" t="s">
        <v>91</v>
      </c>
      <c r="C10" s="95" t="s">
        <v>92</v>
      </c>
      <c r="D10" s="95">
        <v>46235</v>
      </c>
      <c r="E10" s="95">
        <v>46326</v>
      </c>
      <c r="F10" s="86">
        <v>50899.95</v>
      </c>
      <c r="G10" s="87">
        <v>1</v>
      </c>
      <c r="H10" s="92">
        <f>SUM(F10/2*G10)</f>
        <v>25449.974999999999</v>
      </c>
      <c r="I10" s="208"/>
      <c r="J10" s="208"/>
      <c r="K10" s="208"/>
      <c r="L10" s="208"/>
      <c r="M10" s="210"/>
      <c r="N10" s="210"/>
      <c r="O10" s="210"/>
      <c r="P10" s="210"/>
      <c r="Q10" s="210"/>
      <c r="R10" s="210"/>
      <c r="S10" s="93"/>
      <c r="T10" s="93"/>
      <c r="U10" s="93"/>
      <c r="V10" s="93"/>
      <c r="W10" s="213">
        <f>SUM(U16-Y4)</f>
        <v>10240</v>
      </c>
      <c r="X10" s="213"/>
      <c r="Y10" s="204"/>
      <c r="Z10" s="204"/>
      <c r="AA10" s="218"/>
      <c r="AB10" s="218"/>
      <c r="AC10" s="94"/>
    </row>
    <row r="11" spans="1:32" ht="25.5" x14ac:dyDescent="0.6">
      <c r="A11" s="84" t="s">
        <v>93</v>
      </c>
      <c r="B11" s="84" t="s">
        <v>94</v>
      </c>
      <c r="C11" s="95" t="s">
        <v>95</v>
      </c>
      <c r="D11" s="95">
        <v>46174</v>
      </c>
      <c r="E11" s="95">
        <v>46265</v>
      </c>
      <c r="F11" s="86">
        <v>22000</v>
      </c>
      <c r="G11" s="87">
        <v>2</v>
      </c>
      <c r="H11" s="92">
        <f t="shared" si="0"/>
        <v>22000</v>
      </c>
      <c r="I11" s="205">
        <f>SUM(H8:H18)</f>
        <v>129945.23000000001</v>
      </c>
      <c r="J11" s="205"/>
      <c r="K11" s="206">
        <f>SUM($I$2)</f>
        <v>110000</v>
      </c>
      <c r="L11" s="206"/>
      <c r="M11" s="199">
        <f>SUM(Provisionsstaffel!K10)</f>
        <v>1.1813202727272729</v>
      </c>
      <c r="N11" s="199"/>
      <c r="O11" s="199"/>
      <c r="P11" s="199">
        <f>SUM(Provisionsstaffel!M10)</f>
        <v>1.28</v>
      </c>
      <c r="Q11" s="199"/>
      <c r="R11" s="199"/>
      <c r="S11" s="97"/>
      <c r="T11" s="97"/>
      <c r="U11" s="98"/>
      <c r="V11" s="98"/>
      <c r="W11" s="213"/>
      <c r="X11" s="213"/>
      <c r="Y11" s="216">
        <v>0</v>
      </c>
      <c r="Z11" s="216"/>
      <c r="AA11" s="218"/>
      <c r="AB11" s="218"/>
      <c r="AC11" s="94"/>
    </row>
    <row r="12" spans="1:32" ht="25.5" x14ac:dyDescent="0.6">
      <c r="A12" s="84" t="s">
        <v>96</v>
      </c>
      <c r="B12" s="84" t="s">
        <v>97</v>
      </c>
      <c r="C12" s="95" t="s">
        <v>98</v>
      </c>
      <c r="D12" s="95">
        <v>46204</v>
      </c>
      <c r="E12" s="95">
        <v>46295</v>
      </c>
      <c r="F12" s="86">
        <v>30875</v>
      </c>
      <c r="G12" s="87">
        <v>2</v>
      </c>
      <c r="H12" s="92">
        <f>SUM(F12/2*G12)</f>
        <v>30875</v>
      </c>
      <c r="I12" s="205"/>
      <c r="J12" s="205"/>
      <c r="K12" s="206"/>
      <c r="L12" s="206"/>
      <c r="M12" s="199"/>
      <c r="N12" s="199"/>
      <c r="O12" s="199"/>
      <c r="P12" s="199"/>
      <c r="Q12" s="199"/>
      <c r="R12" s="199"/>
      <c r="S12" s="97"/>
      <c r="T12" s="97"/>
      <c r="U12" s="98"/>
      <c r="V12" s="98"/>
      <c r="W12" s="98"/>
      <c r="X12" s="98"/>
      <c r="Y12" s="216"/>
      <c r="Z12" s="216"/>
      <c r="AA12" s="218"/>
      <c r="AB12" s="218"/>
      <c r="AC12" s="94"/>
      <c r="AE12" s="4"/>
      <c r="AF12" s="5"/>
    </row>
    <row r="13" spans="1:32" ht="25.5" x14ac:dyDescent="0.6">
      <c r="A13" s="84" t="s">
        <v>99</v>
      </c>
      <c r="B13" s="84" t="s">
        <v>100</v>
      </c>
      <c r="C13" s="95" t="s">
        <v>101</v>
      </c>
      <c r="D13" s="95">
        <v>46174</v>
      </c>
      <c r="E13" s="95">
        <v>46265</v>
      </c>
      <c r="F13" s="86">
        <v>25242.51</v>
      </c>
      <c r="G13" s="87">
        <v>1</v>
      </c>
      <c r="H13" s="92">
        <f>SUM(F13/2*G13)</f>
        <v>12621.254999999999</v>
      </c>
      <c r="I13" s="212" t="s">
        <v>35</v>
      </c>
      <c r="J13" s="212"/>
      <c r="K13" s="212" t="s">
        <v>31</v>
      </c>
      <c r="L13" s="212"/>
      <c r="M13" s="212" t="s">
        <v>30</v>
      </c>
      <c r="N13" s="212"/>
      <c r="O13" s="212"/>
      <c r="P13" s="202" t="s">
        <v>34</v>
      </c>
      <c r="Q13" s="202"/>
      <c r="R13" s="202"/>
      <c r="S13" s="202" t="s">
        <v>48</v>
      </c>
      <c r="T13" s="202"/>
      <c r="U13" s="213" t="s">
        <v>45</v>
      </c>
      <c r="V13" s="213"/>
      <c r="W13" s="213" t="s">
        <v>46</v>
      </c>
      <c r="X13" s="213"/>
      <c r="Y13" s="213" t="s">
        <v>36</v>
      </c>
      <c r="Z13" s="213"/>
      <c r="AA13" s="213" t="s">
        <v>54</v>
      </c>
      <c r="AB13" s="213"/>
      <c r="AC13" s="94"/>
      <c r="AE13" s="4"/>
      <c r="AF13" s="5"/>
    </row>
    <row r="14" spans="1:32" ht="25.5" x14ac:dyDescent="0.6">
      <c r="A14" s="84"/>
      <c r="B14" s="84"/>
      <c r="C14" s="95"/>
      <c r="D14" s="95"/>
      <c r="E14" s="95"/>
      <c r="F14" s="86"/>
      <c r="G14" s="173"/>
      <c r="H14" s="92">
        <f t="shared" ref="H14:H18" si="1">SUM(F14/2*G14)</f>
        <v>0</v>
      </c>
      <c r="I14" s="212"/>
      <c r="J14" s="212"/>
      <c r="K14" s="212"/>
      <c r="L14" s="212"/>
      <c r="M14" s="212"/>
      <c r="N14" s="212"/>
      <c r="O14" s="212"/>
      <c r="P14" s="202"/>
      <c r="Q14" s="202"/>
      <c r="R14" s="202"/>
      <c r="S14" s="202"/>
      <c r="T14" s="202"/>
      <c r="U14" s="213"/>
      <c r="V14" s="213"/>
      <c r="W14" s="213"/>
      <c r="X14" s="213"/>
      <c r="Y14" s="213"/>
      <c r="Z14" s="213"/>
      <c r="AA14" s="213"/>
      <c r="AB14" s="213"/>
      <c r="AC14" s="94"/>
      <c r="AE14" s="4"/>
      <c r="AF14" s="5"/>
    </row>
    <row r="15" spans="1:32" ht="25.5" x14ac:dyDescent="0.6">
      <c r="A15" s="84"/>
      <c r="B15" s="84"/>
      <c r="C15" s="95"/>
      <c r="D15" s="95"/>
      <c r="E15" s="95"/>
      <c r="F15" s="86"/>
      <c r="G15" s="173"/>
      <c r="H15" s="92">
        <f t="shared" si="1"/>
        <v>0</v>
      </c>
      <c r="I15" s="212"/>
      <c r="J15" s="212"/>
      <c r="K15" s="212"/>
      <c r="L15" s="212"/>
      <c r="M15" s="212"/>
      <c r="N15" s="212"/>
      <c r="O15" s="212"/>
      <c r="P15" s="202"/>
      <c r="Q15" s="202"/>
      <c r="R15" s="202"/>
      <c r="S15" s="202"/>
      <c r="T15" s="202"/>
      <c r="U15" s="213"/>
      <c r="V15" s="213"/>
      <c r="W15" s="213"/>
      <c r="X15" s="213"/>
      <c r="Y15" s="213"/>
      <c r="Z15" s="213"/>
      <c r="AA15" s="213"/>
      <c r="AB15" s="213"/>
      <c r="AC15" s="94"/>
    </row>
    <row r="16" spans="1:32" ht="25.5" x14ac:dyDescent="0.6">
      <c r="A16" s="84"/>
      <c r="B16" s="84"/>
      <c r="C16" s="95"/>
      <c r="D16" s="95"/>
      <c r="E16" s="95"/>
      <c r="F16" s="86"/>
      <c r="G16" s="173"/>
      <c r="H16" s="92">
        <f t="shared" si="1"/>
        <v>0</v>
      </c>
      <c r="I16" s="206">
        <f>SUM(I11)</f>
        <v>129945.23000000001</v>
      </c>
      <c r="J16" s="206"/>
      <c r="K16" s="206">
        <f>SUM(K11*1)</f>
        <v>110000</v>
      </c>
      <c r="L16" s="206"/>
      <c r="M16" s="197">
        <f>SUM(Provisionsstaffel!L10)</f>
        <v>1.18</v>
      </c>
      <c r="N16" s="197"/>
      <c r="O16" s="197"/>
      <c r="P16" s="197">
        <f>SUM(Provisionsstaffel!M10)</f>
        <v>1.28</v>
      </c>
      <c r="Q16" s="197"/>
      <c r="R16" s="197"/>
      <c r="S16" s="200">
        <f>SUM(Provisionsstaffel!N10)</f>
        <v>12800</v>
      </c>
      <c r="T16" s="200"/>
      <c r="U16" s="206">
        <f>SUM(S16*0.8)</f>
        <v>10240</v>
      </c>
      <c r="V16" s="206"/>
      <c r="W16" s="206">
        <f>SUM(S16*0.2)</f>
        <v>2560</v>
      </c>
      <c r="X16" s="206"/>
      <c r="Y16" s="219">
        <f>SUM(Y11)</f>
        <v>0</v>
      </c>
      <c r="Z16" s="219"/>
      <c r="AA16" s="206">
        <f>SUM(S16-Y16)</f>
        <v>12800</v>
      </c>
      <c r="AB16" s="206"/>
      <c r="AC16" s="94"/>
    </row>
    <row r="17" spans="1:29" ht="25.5" x14ac:dyDescent="0.6">
      <c r="A17" s="83"/>
      <c r="B17" s="84"/>
      <c r="C17" s="87"/>
      <c r="D17" s="91"/>
      <c r="E17" s="91"/>
      <c r="F17" s="86"/>
      <c r="G17" s="87"/>
      <c r="H17" s="92">
        <f t="shared" si="1"/>
        <v>0</v>
      </c>
      <c r="I17" s="206"/>
      <c r="J17" s="206"/>
      <c r="K17" s="206"/>
      <c r="L17" s="206"/>
      <c r="M17" s="197"/>
      <c r="N17" s="197"/>
      <c r="O17" s="197"/>
      <c r="P17" s="197"/>
      <c r="Q17" s="197"/>
      <c r="R17" s="197"/>
      <c r="S17" s="200"/>
      <c r="T17" s="200"/>
      <c r="U17" s="206"/>
      <c r="V17" s="206"/>
      <c r="W17" s="206"/>
      <c r="X17" s="206"/>
      <c r="Y17" s="219"/>
      <c r="Z17" s="219"/>
      <c r="AA17" s="206"/>
      <c r="AB17" s="206"/>
      <c r="AC17" s="94"/>
    </row>
    <row r="18" spans="1:29" ht="26.25" thickBot="1" x14ac:dyDescent="0.65">
      <c r="A18" s="99"/>
      <c r="B18" s="100"/>
      <c r="C18" s="101"/>
      <c r="D18" s="102"/>
      <c r="E18" s="102"/>
      <c r="F18" s="103"/>
      <c r="G18" s="104"/>
      <c r="H18" s="105">
        <f t="shared" si="1"/>
        <v>0</v>
      </c>
      <c r="I18" s="211"/>
      <c r="J18" s="211"/>
      <c r="K18" s="211"/>
      <c r="L18" s="211"/>
      <c r="M18" s="198"/>
      <c r="N18" s="198"/>
      <c r="O18" s="198"/>
      <c r="P18" s="198"/>
      <c r="Q18" s="198"/>
      <c r="R18" s="198"/>
      <c r="S18" s="201"/>
      <c r="T18" s="201"/>
      <c r="U18" s="211"/>
      <c r="V18" s="211"/>
      <c r="W18" s="211"/>
      <c r="X18" s="211"/>
      <c r="Y18" s="220"/>
      <c r="Z18" s="220"/>
      <c r="AA18" s="211"/>
      <c r="AB18" s="211"/>
      <c r="AC18" s="106"/>
    </row>
    <row r="19" spans="1:29" ht="8.85" customHeight="1" thickBot="1" x14ac:dyDescent="0.65">
      <c r="A19" s="107"/>
      <c r="B19" s="108"/>
      <c r="C19" s="109"/>
      <c r="D19" s="110"/>
      <c r="E19" s="110"/>
      <c r="F19" s="111"/>
      <c r="G19" s="112"/>
      <c r="H19" s="113"/>
      <c r="I19" s="114"/>
      <c r="J19" s="114"/>
      <c r="K19" s="114"/>
      <c r="L19" s="114"/>
      <c r="M19" s="115"/>
      <c r="N19" s="115"/>
      <c r="O19" s="115"/>
      <c r="P19" s="114"/>
      <c r="Q19" s="114"/>
      <c r="R19" s="114"/>
      <c r="S19" s="114"/>
      <c r="T19" s="114"/>
      <c r="U19" s="115"/>
      <c r="V19" s="115"/>
      <c r="W19" s="115"/>
      <c r="X19" s="115"/>
      <c r="Y19" s="115"/>
      <c r="Z19" s="115"/>
      <c r="AA19" s="115"/>
      <c r="AB19" s="115"/>
      <c r="AC19" s="73"/>
    </row>
    <row r="20" spans="1:29" s="30" customFormat="1" ht="28.5" customHeight="1" thickBot="1" x14ac:dyDescent="0.3">
      <c r="A20" s="214" t="s">
        <v>79</v>
      </c>
      <c r="B20" s="215"/>
      <c r="C20" s="215"/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/>
      <c r="S20" s="215"/>
      <c r="T20" s="215"/>
      <c r="U20" s="215"/>
      <c r="V20" s="215"/>
      <c r="W20" s="215"/>
      <c r="X20" s="215"/>
      <c r="Y20" s="215"/>
      <c r="Z20" s="215"/>
      <c r="AA20" s="215"/>
      <c r="AB20" s="215"/>
      <c r="AC20" s="82"/>
    </row>
    <row r="21" spans="1:29" ht="25.5" x14ac:dyDescent="0.6">
      <c r="A21" s="116"/>
      <c r="B21" s="117"/>
      <c r="C21" s="118"/>
      <c r="D21" s="95"/>
      <c r="E21" s="95"/>
      <c r="F21" s="119"/>
      <c r="G21" s="120"/>
      <c r="H21" s="121">
        <f>SUM(F21/2*G21)</f>
        <v>0</v>
      </c>
      <c r="I21" s="207" t="s">
        <v>73</v>
      </c>
      <c r="J21" s="207"/>
      <c r="K21" s="207" t="s">
        <v>67</v>
      </c>
      <c r="L21" s="207"/>
      <c r="M21" s="209" t="s">
        <v>72</v>
      </c>
      <c r="N21" s="209"/>
      <c r="O21" s="209"/>
      <c r="P21" s="209" t="s">
        <v>64</v>
      </c>
      <c r="Q21" s="209"/>
      <c r="R21" s="209"/>
      <c r="S21" s="89"/>
      <c r="T21" s="89"/>
      <c r="U21" s="89"/>
      <c r="V21" s="89"/>
      <c r="W21" s="203" t="s">
        <v>43</v>
      </c>
      <c r="X21" s="203"/>
      <c r="Y21" s="203" t="s">
        <v>59</v>
      </c>
      <c r="Z21" s="203"/>
      <c r="AA21" s="217" t="str">
        <f>IF(AA29&gt;=W29,"ok","Überzahlung")</f>
        <v>ok</v>
      </c>
      <c r="AB21" s="217"/>
      <c r="AC21" s="90"/>
    </row>
    <row r="22" spans="1:29" ht="25.5" x14ac:dyDescent="0.6">
      <c r="A22" s="83"/>
      <c r="B22" s="84"/>
      <c r="C22" s="85"/>
      <c r="D22" s="95"/>
      <c r="E22" s="95"/>
      <c r="F22" s="86"/>
      <c r="G22" s="87"/>
      <c r="H22" s="123">
        <f>SUM(F22/2*G22)</f>
        <v>0</v>
      </c>
      <c r="I22" s="208"/>
      <c r="J22" s="208"/>
      <c r="K22" s="208"/>
      <c r="L22" s="208"/>
      <c r="M22" s="210"/>
      <c r="N22" s="210"/>
      <c r="O22" s="210"/>
      <c r="P22" s="210"/>
      <c r="Q22" s="210"/>
      <c r="R22" s="210"/>
      <c r="S22" s="93"/>
      <c r="T22" s="93"/>
      <c r="U22" s="93"/>
      <c r="V22" s="93"/>
      <c r="W22" s="204"/>
      <c r="X22" s="204"/>
      <c r="Y22" s="204"/>
      <c r="Z22" s="204"/>
      <c r="AA22" s="218"/>
      <c r="AB22" s="218"/>
      <c r="AC22" s="94"/>
    </row>
    <row r="23" spans="1:29" ht="25.5" x14ac:dyDescent="0.6">
      <c r="A23" s="83"/>
      <c r="B23" s="84"/>
      <c r="C23" s="85"/>
      <c r="D23" s="95"/>
      <c r="E23" s="95"/>
      <c r="F23" s="86"/>
      <c r="G23" s="87"/>
      <c r="H23" s="123">
        <f t="shared" si="0"/>
        <v>0</v>
      </c>
      <c r="I23" s="208"/>
      <c r="J23" s="208"/>
      <c r="K23" s="208"/>
      <c r="L23" s="208"/>
      <c r="M23" s="210"/>
      <c r="N23" s="210"/>
      <c r="O23" s="210"/>
      <c r="P23" s="210"/>
      <c r="Q23" s="210"/>
      <c r="R23" s="210"/>
      <c r="S23" s="93"/>
      <c r="T23" s="93"/>
      <c r="U23" s="93"/>
      <c r="V23" s="93"/>
      <c r="W23" s="213">
        <f>SUM(U29-Y16)</f>
        <v>4480.0000000000009</v>
      </c>
      <c r="X23" s="213"/>
      <c r="Y23" s="204"/>
      <c r="Z23" s="204"/>
      <c r="AA23" s="218"/>
      <c r="AB23" s="218"/>
      <c r="AC23" s="94"/>
    </row>
    <row r="24" spans="1:29" ht="25.5" x14ac:dyDescent="0.6">
      <c r="A24" s="83"/>
      <c r="B24" s="84"/>
      <c r="C24" s="85"/>
      <c r="D24" s="95"/>
      <c r="E24" s="95"/>
      <c r="F24" s="86"/>
      <c r="G24" s="87"/>
      <c r="H24" s="123">
        <f t="shared" si="0"/>
        <v>0</v>
      </c>
      <c r="I24" s="205">
        <f>SUM(H21:H29)</f>
        <v>0</v>
      </c>
      <c r="J24" s="205"/>
      <c r="K24" s="206">
        <f>SUM($I$2)</f>
        <v>110000</v>
      </c>
      <c r="L24" s="206"/>
      <c r="M24" s="199">
        <f>SUM(Provisionsstaffel!F11)</f>
        <v>0</v>
      </c>
      <c r="N24" s="199"/>
      <c r="O24" s="199"/>
      <c r="P24" s="199" t="e">
        <f>SUM(Provisionsstaffel!D11)</f>
        <v>#N/A</v>
      </c>
      <c r="Q24" s="199"/>
      <c r="R24" s="199"/>
      <c r="S24" s="93"/>
      <c r="T24" s="93"/>
      <c r="U24" s="93"/>
      <c r="V24" s="93"/>
      <c r="W24" s="213"/>
      <c r="X24" s="213"/>
      <c r="Y24" s="216">
        <v>0</v>
      </c>
      <c r="Z24" s="216"/>
      <c r="AA24" s="218"/>
      <c r="AB24" s="218"/>
      <c r="AC24" s="94"/>
    </row>
    <row r="25" spans="1:29" ht="25.5" x14ac:dyDescent="0.6">
      <c r="A25" s="124"/>
      <c r="B25" s="122"/>
      <c r="C25" s="122"/>
      <c r="D25" s="122"/>
      <c r="E25" s="122"/>
      <c r="F25" s="122"/>
      <c r="G25" s="122"/>
      <c r="H25" s="123">
        <f t="shared" si="0"/>
        <v>0</v>
      </c>
      <c r="I25" s="205"/>
      <c r="J25" s="205"/>
      <c r="K25" s="206"/>
      <c r="L25" s="206"/>
      <c r="M25" s="199"/>
      <c r="N25" s="199"/>
      <c r="O25" s="199"/>
      <c r="P25" s="199"/>
      <c r="Q25" s="199"/>
      <c r="R25" s="199"/>
      <c r="S25" s="93"/>
      <c r="T25" s="93"/>
      <c r="U25" s="93"/>
      <c r="V25" s="93"/>
      <c r="W25" s="93"/>
      <c r="X25" s="93"/>
      <c r="Y25" s="216"/>
      <c r="Z25" s="216"/>
      <c r="AA25" s="218"/>
      <c r="AB25" s="218"/>
      <c r="AC25" s="94"/>
    </row>
    <row r="26" spans="1:29" ht="25.5" x14ac:dyDescent="0.6">
      <c r="A26" s="124"/>
      <c r="B26" s="122"/>
      <c r="C26" s="122"/>
      <c r="D26" s="122"/>
      <c r="E26" s="122"/>
      <c r="F26" s="122"/>
      <c r="G26" s="122"/>
      <c r="H26" s="123">
        <f t="shared" si="0"/>
        <v>0</v>
      </c>
      <c r="I26" s="212" t="s">
        <v>35</v>
      </c>
      <c r="J26" s="212"/>
      <c r="K26" s="212" t="s">
        <v>31</v>
      </c>
      <c r="L26" s="212"/>
      <c r="M26" s="212" t="s">
        <v>30</v>
      </c>
      <c r="N26" s="212"/>
      <c r="O26" s="212"/>
      <c r="P26" s="202" t="s">
        <v>34</v>
      </c>
      <c r="Q26" s="202"/>
      <c r="R26" s="202"/>
      <c r="S26" s="202" t="s">
        <v>48</v>
      </c>
      <c r="T26" s="202"/>
      <c r="U26" s="213" t="s">
        <v>45</v>
      </c>
      <c r="V26" s="213"/>
      <c r="W26" s="213" t="s">
        <v>47</v>
      </c>
      <c r="X26" s="213"/>
      <c r="Y26" s="213" t="s">
        <v>36</v>
      </c>
      <c r="Z26" s="213"/>
      <c r="AA26" s="213" t="s">
        <v>55</v>
      </c>
      <c r="AB26" s="213"/>
      <c r="AC26" s="94"/>
    </row>
    <row r="27" spans="1:29" ht="25.5" x14ac:dyDescent="0.6">
      <c r="A27" s="124"/>
      <c r="B27" s="122"/>
      <c r="C27" s="122"/>
      <c r="D27" s="122"/>
      <c r="E27" s="122"/>
      <c r="F27" s="122"/>
      <c r="G27" s="122"/>
      <c r="H27" s="123">
        <f t="shared" si="0"/>
        <v>0</v>
      </c>
      <c r="I27" s="212"/>
      <c r="J27" s="212"/>
      <c r="K27" s="212"/>
      <c r="L27" s="212"/>
      <c r="M27" s="212"/>
      <c r="N27" s="212"/>
      <c r="O27" s="212"/>
      <c r="P27" s="202"/>
      <c r="Q27" s="202"/>
      <c r="R27" s="202"/>
      <c r="S27" s="202"/>
      <c r="T27" s="202"/>
      <c r="U27" s="213"/>
      <c r="V27" s="213"/>
      <c r="W27" s="213"/>
      <c r="X27" s="213"/>
      <c r="Y27" s="213"/>
      <c r="Z27" s="213"/>
      <c r="AA27" s="213"/>
      <c r="AB27" s="213"/>
      <c r="AC27" s="94"/>
    </row>
    <row r="28" spans="1:29" ht="25.5" x14ac:dyDescent="0.6">
      <c r="A28" s="124"/>
      <c r="B28" s="122"/>
      <c r="C28" s="122"/>
      <c r="D28" s="122"/>
      <c r="E28" s="122"/>
      <c r="F28" s="122"/>
      <c r="G28" s="122"/>
      <c r="H28" s="123">
        <f>SUM(F28/2*G28)</f>
        <v>0</v>
      </c>
      <c r="I28" s="212"/>
      <c r="J28" s="212"/>
      <c r="K28" s="212"/>
      <c r="L28" s="212"/>
      <c r="M28" s="212"/>
      <c r="N28" s="212"/>
      <c r="O28" s="212"/>
      <c r="P28" s="202"/>
      <c r="Q28" s="202"/>
      <c r="R28" s="202"/>
      <c r="S28" s="202"/>
      <c r="T28" s="202"/>
      <c r="U28" s="213"/>
      <c r="V28" s="213"/>
      <c r="W28" s="213"/>
      <c r="X28" s="213"/>
      <c r="Y28" s="213"/>
      <c r="Z28" s="213"/>
      <c r="AA28" s="213"/>
      <c r="AB28" s="213"/>
      <c r="AC28" s="94"/>
    </row>
    <row r="29" spans="1:29" ht="25.5" x14ac:dyDescent="0.6">
      <c r="A29" s="124"/>
      <c r="B29" s="122"/>
      <c r="C29" s="122"/>
      <c r="D29" s="122"/>
      <c r="E29" s="122"/>
      <c r="F29" s="122"/>
      <c r="G29" s="122"/>
      <c r="H29" s="123">
        <f>SUM(F29/2*G29)</f>
        <v>0</v>
      </c>
      <c r="I29" s="206">
        <f>SUM(I16,I24)</f>
        <v>129945.23000000001</v>
      </c>
      <c r="J29" s="206"/>
      <c r="K29" s="206">
        <f>SUM(I2*2)</f>
        <v>220000</v>
      </c>
      <c r="L29" s="206"/>
      <c r="M29" s="197">
        <f>SUM(Provisionsstaffel!L11)</f>
        <v>0.59</v>
      </c>
      <c r="N29" s="197"/>
      <c r="O29" s="197"/>
      <c r="P29" s="197">
        <f>SUM(Provisionsstaffel!M11)</f>
        <v>0.28000000000000003</v>
      </c>
      <c r="Q29" s="197"/>
      <c r="R29" s="197"/>
      <c r="S29" s="200">
        <f>SUM(Provisionsstaffel!N11)</f>
        <v>5600.0000000000009</v>
      </c>
      <c r="T29" s="200"/>
      <c r="U29" s="206">
        <f>SUM(S29*0.8)</f>
        <v>4480.0000000000009</v>
      </c>
      <c r="V29" s="206"/>
      <c r="W29" s="206">
        <f>SUM(S29*0.2)</f>
        <v>1120.0000000000002</v>
      </c>
      <c r="X29" s="206"/>
      <c r="Y29" s="219">
        <f>SUM(Y16,Y24)</f>
        <v>0</v>
      </c>
      <c r="Z29" s="219"/>
      <c r="AA29" s="206">
        <f>SUM(S29-Y29)</f>
        <v>5600.0000000000009</v>
      </c>
      <c r="AB29" s="206"/>
      <c r="AC29" s="94"/>
    </row>
    <row r="30" spans="1:29" ht="26.25" thickBot="1" x14ac:dyDescent="0.65">
      <c r="A30" s="125"/>
      <c r="B30" s="126"/>
      <c r="C30" s="127"/>
      <c r="D30" s="127"/>
      <c r="E30" s="127"/>
      <c r="F30" s="127"/>
      <c r="G30" s="127"/>
      <c r="H30" s="128"/>
      <c r="I30" s="211"/>
      <c r="J30" s="211"/>
      <c r="K30" s="211"/>
      <c r="L30" s="211"/>
      <c r="M30" s="198"/>
      <c r="N30" s="198"/>
      <c r="O30" s="198"/>
      <c r="P30" s="198"/>
      <c r="Q30" s="198"/>
      <c r="R30" s="198"/>
      <c r="S30" s="201"/>
      <c r="T30" s="201"/>
      <c r="U30" s="211"/>
      <c r="V30" s="211"/>
      <c r="W30" s="211"/>
      <c r="X30" s="211"/>
      <c r="Y30" s="220"/>
      <c r="Z30" s="220"/>
      <c r="AA30" s="211"/>
      <c r="AB30" s="211"/>
      <c r="AC30" s="106"/>
    </row>
    <row r="31" spans="1:29" ht="8.85" customHeight="1" thickBot="1" x14ac:dyDescent="0.65">
      <c r="A31" s="129"/>
      <c r="B31" s="129"/>
      <c r="C31" s="130"/>
      <c r="D31" s="131"/>
      <c r="E31" s="131"/>
      <c r="F31" s="132"/>
      <c r="G31" s="133"/>
      <c r="H31" s="113"/>
      <c r="I31" s="134"/>
      <c r="J31" s="134"/>
      <c r="K31" s="134"/>
      <c r="L31" s="135"/>
      <c r="M31" s="136"/>
      <c r="N31" s="137"/>
      <c r="O31" s="136"/>
      <c r="P31" s="134"/>
      <c r="Q31" s="135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71"/>
    </row>
    <row r="32" spans="1:29" s="30" customFormat="1" ht="28.5" customHeight="1" thickBot="1" x14ac:dyDescent="0.3">
      <c r="A32" s="214" t="s">
        <v>50</v>
      </c>
      <c r="B32" s="215"/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15"/>
      <c r="AA32" s="215"/>
      <c r="AB32" s="215"/>
      <c r="AC32" s="138"/>
    </row>
    <row r="33" spans="1:29" ht="25.5" x14ac:dyDescent="0.6">
      <c r="A33" s="116"/>
      <c r="B33" s="117"/>
      <c r="C33" s="139"/>
      <c r="D33" s="140"/>
      <c r="E33" s="140"/>
      <c r="F33" s="119"/>
      <c r="G33" s="120"/>
      <c r="H33" s="141">
        <f t="shared" ref="H33:H42" si="2">SUM(F33/2*G33)</f>
        <v>0</v>
      </c>
      <c r="I33" s="221" t="s">
        <v>74</v>
      </c>
      <c r="J33" s="222"/>
      <c r="K33" s="227" t="s">
        <v>68</v>
      </c>
      <c r="L33" s="222"/>
      <c r="M33" s="230" t="s">
        <v>71</v>
      </c>
      <c r="N33" s="209"/>
      <c r="O33" s="231"/>
      <c r="P33" s="230" t="s">
        <v>63</v>
      </c>
      <c r="Q33" s="209"/>
      <c r="R33" s="237"/>
      <c r="S33" s="89"/>
      <c r="T33" s="89"/>
      <c r="U33" s="89"/>
      <c r="V33" s="89"/>
      <c r="W33" s="240" t="s">
        <v>43</v>
      </c>
      <c r="X33" s="241"/>
      <c r="Y33" s="240" t="s">
        <v>61</v>
      </c>
      <c r="Z33" s="244"/>
      <c r="AA33" s="248" t="str">
        <f>IF(AA41&gt;=W41,"ok","Überzahlung")</f>
        <v>ok</v>
      </c>
      <c r="AB33" s="249"/>
      <c r="AC33" s="90"/>
    </row>
    <row r="34" spans="1:29" ht="25.5" x14ac:dyDescent="0.6">
      <c r="A34" s="124"/>
      <c r="B34" s="122"/>
      <c r="C34" s="122"/>
      <c r="D34" s="122"/>
      <c r="E34" s="122"/>
      <c r="F34" s="122"/>
      <c r="G34" s="122"/>
      <c r="H34" s="142">
        <f t="shared" si="2"/>
        <v>0</v>
      </c>
      <c r="I34" s="223"/>
      <c r="J34" s="224"/>
      <c r="K34" s="228"/>
      <c r="L34" s="224"/>
      <c r="M34" s="232"/>
      <c r="N34" s="210"/>
      <c r="O34" s="233"/>
      <c r="P34" s="232"/>
      <c r="Q34" s="210"/>
      <c r="R34" s="238"/>
      <c r="S34" s="93"/>
      <c r="T34" s="93"/>
      <c r="U34" s="93"/>
      <c r="V34" s="93"/>
      <c r="W34" s="242"/>
      <c r="X34" s="243"/>
      <c r="Y34" s="242"/>
      <c r="Z34" s="245"/>
      <c r="AA34" s="250"/>
      <c r="AB34" s="251"/>
      <c r="AC34" s="94"/>
    </row>
    <row r="35" spans="1:29" ht="25.5" x14ac:dyDescent="0.6">
      <c r="A35" s="124"/>
      <c r="B35" s="122"/>
      <c r="C35" s="122"/>
      <c r="D35" s="122"/>
      <c r="E35" s="122"/>
      <c r="F35" s="122"/>
      <c r="G35" s="122"/>
      <c r="H35" s="142">
        <f t="shared" si="2"/>
        <v>0</v>
      </c>
      <c r="I35" s="225"/>
      <c r="J35" s="226"/>
      <c r="K35" s="229"/>
      <c r="L35" s="226"/>
      <c r="M35" s="234"/>
      <c r="N35" s="235"/>
      <c r="O35" s="236"/>
      <c r="P35" s="234"/>
      <c r="Q35" s="235"/>
      <c r="R35" s="239"/>
      <c r="S35" s="93"/>
      <c r="T35" s="93"/>
      <c r="U35" s="93"/>
      <c r="V35" s="93"/>
      <c r="W35" s="264">
        <f>SUM(U41-Y29)</f>
        <v>0</v>
      </c>
      <c r="X35" s="296"/>
      <c r="Y35" s="246"/>
      <c r="Z35" s="247"/>
      <c r="AA35" s="250"/>
      <c r="AB35" s="251"/>
      <c r="AC35" s="94"/>
    </row>
    <row r="36" spans="1:29" ht="26.25" thickBot="1" x14ac:dyDescent="0.65">
      <c r="A36" s="124"/>
      <c r="B36" s="122"/>
      <c r="C36" s="122"/>
      <c r="D36" s="122"/>
      <c r="E36" s="122"/>
      <c r="F36" s="122"/>
      <c r="G36" s="122"/>
      <c r="H36" s="142">
        <f t="shared" si="2"/>
        <v>0</v>
      </c>
      <c r="I36" s="322">
        <f>SUM(H33:H42)</f>
        <v>0</v>
      </c>
      <c r="J36" s="323"/>
      <c r="K36" s="254">
        <f>SUM($I$2)</f>
        <v>110000</v>
      </c>
      <c r="L36" s="279"/>
      <c r="M36" s="326">
        <f>SUM(Provisionsstaffel!F12)</f>
        <v>0</v>
      </c>
      <c r="N36" s="327"/>
      <c r="O36" s="328"/>
      <c r="P36" s="326" t="e">
        <f>SUM(Provisionsstaffel!D12)</f>
        <v>#N/A</v>
      </c>
      <c r="Q36" s="327"/>
      <c r="R36" s="332"/>
      <c r="S36" s="93"/>
      <c r="T36" s="93"/>
      <c r="U36" s="93"/>
      <c r="V36" s="93"/>
      <c r="W36" s="320"/>
      <c r="X36" s="321"/>
      <c r="Y36" s="334"/>
      <c r="Z36" s="290"/>
      <c r="AA36" s="250"/>
      <c r="AB36" s="251"/>
      <c r="AC36" s="94"/>
    </row>
    <row r="37" spans="1:29" ht="26.25" thickBot="1" x14ac:dyDescent="0.65">
      <c r="A37" s="124"/>
      <c r="B37" s="122"/>
      <c r="C37" s="122"/>
      <c r="D37" s="122"/>
      <c r="E37" s="122"/>
      <c r="F37" s="122"/>
      <c r="G37" s="122"/>
      <c r="H37" s="142">
        <f t="shared" si="2"/>
        <v>0</v>
      </c>
      <c r="I37" s="324"/>
      <c r="J37" s="325"/>
      <c r="K37" s="256"/>
      <c r="L37" s="280"/>
      <c r="M37" s="329"/>
      <c r="N37" s="330"/>
      <c r="O37" s="331"/>
      <c r="P37" s="329"/>
      <c r="Q37" s="330"/>
      <c r="R37" s="333"/>
      <c r="S37" s="93"/>
      <c r="T37" s="93"/>
      <c r="U37" s="93"/>
      <c r="V37" s="93"/>
      <c r="W37" s="93"/>
      <c r="X37" s="93"/>
      <c r="Y37" s="335"/>
      <c r="Z37" s="292"/>
      <c r="AA37" s="252"/>
      <c r="AB37" s="253"/>
      <c r="AC37" s="94"/>
    </row>
    <row r="38" spans="1:29" ht="25.5" x14ac:dyDescent="0.6">
      <c r="A38" s="143"/>
      <c r="B38" s="144"/>
      <c r="C38" s="144"/>
      <c r="D38" s="144"/>
      <c r="E38" s="144"/>
      <c r="F38" s="96"/>
      <c r="G38" s="87"/>
      <c r="H38" s="142">
        <f t="shared" si="2"/>
        <v>0</v>
      </c>
      <c r="I38" s="298" t="s">
        <v>35</v>
      </c>
      <c r="J38" s="299"/>
      <c r="K38" s="304" t="s">
        <v>31</v>
      </c>
      <c r="L38" s="299"/>
      <c r="M38" s="304" t="s">
        <v>30</v>
      </c>
      <c r="N38" s="307"/>
      <c r="O38" s="299"/>
      <c r="P38" s="309" t="s">
        <v>34</v>
      </c>
      <c r="Q38" s="310"/>
      <c r="R38" s="311"/>
      <c r="S38" s="309" t="s">
        <v>48</v>
      </c>
      <c r="T38" s="317"/>
      <c r="U38" s="262" t="s">
        <v>45</v>
      </c>
      <c r="V38" s="263"/>
      <c r="W38" s="293" t="s">
        <v>47</v>
      </c>
      <c r="X38" s="263"/>
      <c r="Y38" s="293" t="s">
        <v>36</v>
      </c>
      <c r="Z38" s="263"/>
      <c r="AA38" s="293" t="s">
        <v>56</v>
      </c>
      <c r="AB38" s="295"/>
      <c r="AC38" s="94"/>
    </row>
    <row r="39" spans="1:29" ht="25.5" x14ac:dyDescent="0.6">
      <c r="A39" s="145"/>
      <c r="B39" s="146"/>
      <c r="C39" s="144"/>
      <c r="D39" s="144"/>
      <c r="E39" s="144"/>
      <c r="F39" s="96"/>
      <c r="G39" s="87"/>
      <c r="H39" s="142">
        <f t="shared" si="2"/>
        <v>0</v>
      </c>
      <c r="I39" s="300"/>
      <c r="J39" s="301"/>
      <c r="K39" s="305"/>
      <c r="L39" s="301"/>
      <c r="M39" s="305"/>
      <c r="N39" s="212"/>
      <c r="O39" s="301"/>
      <c r="P39" s="312"/>
      <c r="Q39" s="202"/>
      <c r="R39" s="313"/>
      <c r="S39" s="312"/>
      <c r="T39" s="318"/>
      <c r="U39" s="264"/>
      <c r="V39" s="265"/>
      <c r="W39" s="294"/>
      <c r="X39" s="265"/>
      <c r="Y39" s="294"/>
      <c r="Z39" s="265"/>
      <c r="AA39" s="294"/>
      <c r="AB39" s="296"/>
      <c r="AC39" s="94"/>
    </row>
    <row r="40" spans="1:29" ht="25.5" x14ac:dyDescent="0.6">
      <c r="A40" s="145"/>
      <c r="B40" s="146"/>
      <c r="C40" s="144"/>
      <c r="D40" s="144"/>
      <c r="E40" s="144"/>
      <c r="F40" s="96"/>
      <c r="G40" s="87"/>
      <c r="H40" s="142">
        <f t="shared" si="2"/>
        <v>0</v>
      </c>
      <c r="I40" s="302"/>
      <c r="J40" s="303"/>
      <c r="K40" s="306"/>
      <c r="L40" s="303"/>
      <c r="M40" s="306"/>
      <c r="N40" s="308"/>
      <c r="O40" s="303"/>
      <c r="P40" s="314"/>
      <c r="Q40" s="315"/>
      <c r="R40" s="316"/>
      <c r="S40" s="314"/>
      <c r="T40" s="319"/>
      <c r="U40" s="266"/>
      <c r="V40" s="267"/>
      <c r="W40" s="273"/>
      <c r="X40" s="267"/>
      <c r="Y40" s="273"/>
      <c r="Z40" s="267"/>
      <c r="AA40" s="273"/>
      <c r="AB40" s="297"/>
      <c r="AC40" s="94"/>
    </row>
    <row r="41" spans="1:29" ht="25.5" x14ac:dyDescent="0.6">
      <c r="A41" s="145"/>
      <c r="B41" s="146"/>
      <c r="C41" s="144"/>
      <c r="D41" s="144"/>
      <c r="E41" s="144"/>
      <c r="F41" s="96"/>
      <c r="G41" s="87"/>
      <c r="H41" s="142">
        <f t="shared" si="2"/>
        <v>0</v>
      </c>
      <c r="I41" s="281">
        <f>SUM(I29,I36)</f>
        <v>129945.23000000001</v>
      </c>
      <c r="J41" s="279"/>
      <c r="K41" s="254">
        <f>SUM(I2*3)</f>
        <v>330000</v>
      </c>
      <c r="L41" s="279"/>
      <c r="M41" s="274">
        <f>SUM(Provisionsstaffel!L12)</f>
        <v>0.39</v>
      </c>
      <c r="N41" s="275"/>
      <c r="O41" s="276"/>
      <c r="P41" s="274">
        <f>SUM(Provisionsstaffel!M12)</f>
        <v>0</v>
      </c>
      <c r="Q41" s="275"/>
      <c r="R41" s="276"/>
      <c r="S41" s="283">
        <f>SUM(Provisionsstaffel!N12)</f>
        <v>0</v>
      </c>
      <c r="T41" s="284"/>
      <c r="U41" s="281">
        <f>SUM(S41*0.8)</f>
        <v>0</v>
      </c>
      <c r="V41" s="279"/>
      <c r="W41" s="254">
        <f>SUM(S41*0.2)</f>
        <v>0</v>
      </c>
      <c r="X41" s="279"/>
      <c r="Y41" s="258">
        <f>SUM(Y29,Y36)</f>
        <v>0</v>
      </c>
      <c r="Z41" s="259"/>
      <c r="AA41" s="254">
        <f>SUM(S41-Y41)</f>
        <v>0</v>
      </c>
      <c r="AB41" s="255"/>
      <c r="AC41" s="94"/>
    </row>
    <row r="42" spans="1:29" ht="26.25" thickBot="1" x14ac:dyDescent="0.65">
      <c r="A42" s="147"/>
      <c r="B42" s="148"/>
      <c r="C42" s="101"/>
      <c r="D42" s="101"/>
      <c r="E42" s="101"/>
      <c r="F42" s="103"/>
      <c r="G42" s="104"/>
      <c r="H42" s="149">
        <f t="shared" si="2"/>
        <v>0</v>
      </c>
      <c r="I42" s="282"/>
      <c r="J42" s="280"/>
      <c r="K42" s="256"/>
      <c r="L42" s="280"/>
      <c r="M42" s="277"/>
      <c r="N42" s="198"/>
      <c r="O42" s="278"/>
      <c r="P42" s="277"/>
      <c r="Q42" s="198"/>
      <c r="R42" s="278"/>
      <c r="S42" s="285"/>
      <c r="T42" s="286"/>
      <c r="U42" s="282"/>
      <c r="V42" s="280"/>
      <c r="W42" s="256"/>
      <c r="X42" s="280"/>
      <c r="Y42" s="260"/>
      <c r="Z42" s="261"/>
      <c r="AA42" s="256"/>
      <c r="AB42" s="257"/>
      <c r="AC42" s="106"/>
    </row>
    <row r="43" spans="1:29" ht="8.85" customHeight="1" thickBot="1" x14ac:dyDescent="0.65">
      <c r="A43" s="150"/>
      <c r="B43" s="150"/>
      <c r="C43" s="151"/>
      <c r="D43" s="151"/>
      <c r="E43" s="151"/>
      <c r="F43" s="152"/>
      <c r="G43" s="153"/>
      <c r="H43" s="154"/>
      <c r="I43" s="131"/>
      <c r="J43" s="131"/>
      <c r="K43" s="131"/>
      <c r="L43" s="135"/>
      <c r="M43" s="155"/>
      <c r="N43" s="156"/>
      <c r="O43" s="136"/>
      <c r="P43" s="131"/>
      <c r="Q43" s="135"/>
      <c r="R43" s="155"/>
      <c r="S43" s="155"/>
      <c r="T43" s="155"/>
      <c r="U43" s="155"/>
      <c r="V43" s="155"/>
      <c r="W43" s="155"/>
      <c r="X43" s="155"/>
      <c r="Y43" s="155"/>
      <c r="Z43" s="155"/>
      <c r="AA43" s="155"/>
      <c r="AB43" s="155"/>
      <c r="AC43" s="71"/>
    </row>
    <row r="44" spans="1:29" ht="28.5" customHeight="1" thickBot="1" x14ac:dyDescent="0.65">
      <c r="A44" s="214" t="s">
        <v>51</v>
      </c>
      <c r="B44" s="215"/>
      <c r="C44" s="215"/>
      <c r="D44" s="215"/>
      <c r="E44" s="215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  <c r="Z44" s="215"/>
      <c r="AA44" s="215"/>
      <c r="AB44" s="215"/>
      <c r="AC44" s="90"/>
    </row>
    <row r="45" spans="1:29" ht="25.5" x14ac:dyDescent="0.6">
      <c r="A45" s="83"/>
      <c r="B45" s="84"/>
      <c r="C45" s="144"/>
      <c r="D45" s="157"/>
      <c r="E45" s="158"/>
      <c r="F45" s="159"/>
      <c r="G45" s="87"/>
      <c r="H45" s="141">
        <f t="shared" ref="H45:H54" si="3">SUM(F45/2*G45)</f>
        <v>0</v>
      </c>
      <c r="I45" s="221" t="s">
        <v>75</v>
      </c>
      <c r="J45" s="222"/>
      <c r="K45" s="227" t="s">
        <v>69</v>
      </c>
      <c r="L45" s="222"/>
      <c r="M45" s="230" t="s">
        <v>70</v>
      </c>
      <c r="N45" s="209"/>
      <c r="O45" s="231"/>
      <c r="P45" s="230" t="s">
        <v>62</v>
      </c>
      <c r="Q45" s="209"/>
      <c r="R45" s="237"/>
      <c r="S45" s="89"/>
      <c r="T45" s="89"/>
      <c r="U45" s="89"/>
      <c r="V45" s="89"/>
      <c r="W45" s="268" t="s">
        <v>43</v>
      </c>
      <c r="X45" s="244"/>
      <c r="Y45" s="268" t="s">
        <v>58</v>
      </c>
      <c r="Z45" s="244"/>
      <c r="AA45" s="248" t="e">
        <f>IF(AA53&gt;=W53,"ok","Überzahlung")</f>
        <v>#N/A</v>
      </c>
      <c r="AB45" s="249"/>
      <c r="AC45" s="90"/>
    </row>
    <row r="46" spans="1:29" ht="25.5" x14ac:dyDescent="0.6">
      <c r="A46" s="83"/>
      <c r="B46" s="84"/>
      <c r="C46" s="144"/>
      <c r="D46" s="91"/>
      <c r="E46" s="160"/>
      <c r="F46" s="96"/>
      <c r="G46" s="87"/>
      <c r="H46" s="142">
        <f t="shared" si="3"/>
        <v>0</v>
      </c>
      <c r="I46" s="223"/>
      <c r="J46" s="224"/>
      <c r="K46" s="228"/>
      <c r="L46" s="224"/>
      <c r="M46" s="232"/>
      <c r="N46" s="210"/>
      <c r="O46" s="233"/>
      <c r="P46" s="232"/>
      <c r="Q46" s="210"/>
      <c r="R46" s="238"/>
      <c r="S46" s="93"/>
      <c r="T46" s="93"/>
      <c r="U46" s="93"/>
      <c r="V46" s="93"/>
      <c r="W46" s="270"/>
      <c r="X46" s="247"/>
      <c r="Y46" s="269"/>
      <c r="Z46" s="245"/>
      <c r="AA46" s="250"/>
      <c r="AB46" s="251"/>
      <c r="AC46" s="94"/>
    </row>
    <row r="47" spans="1:29" ht="25.5" x14ac:dyDescent="0.6">
      <c r="A47" s="83"/>
      <c r="B47" s="84"/>
      <c r="C47" s="144"/>
      <c r="D47" s="91"/>
      <c r="E47" s="160"/>
      <c r="F47" s="96"/>
      <c r="G47" s="87"/>
      <c r="H47" s="142">
        <f t="shared" si="3"/>
        <v>0</v>
      </c>
      <c r="I47" s="225"/>
      <c r="J47" s="226"/>
      <c r="K47" s="229"/>
      <c r="L47" s="226"/>
      <c r="M47" s="234"/>
      <c r="N47" s="235"/>
      <c r="O47" s="236"/>
      <c r="P47" s="234"/>
      <c r="Q47" s="235"/>
      <c r="R47" s="239"/>
      <c r="S47" s="93"/>
      <c r="T47" s="93"/>
      <c r="U47" s="93"/>
      <c r="V47" s="93"/>
      <c r="W47" s="271" t="e">
        <f>SUM(U53-Y41)</f>
        <v>#N/A</v>
      </c>
      <c r="X47" s="272"/>
      <c r="Y47" s="270"/>
      <c r="Z47" s="247"/>
      <c r="AA47" s="250"/>
      <c r="AB47" s="251"/>
      <c r="AC47" s="94"/>
    </row>
    <row r="48" spans="1:29" ht="25.5" x14ac:dyDescent="0.6">
      <c r="A48" s="83"/>
      <c r="B48" s="84"/>
      <c r="C48" s="144"/>
      <c r="D48" s="91"/>
      <c r="E48" s="160"/>
      <c r="F48" s="96"/>
      <c r="G48" s="87"/>
      <c r="H48" s="142">
        <f t="shared" si="3"/>
        <v>0</v>
      </c>
      <c r="I48" s="322">
        <f>SUM(H45:H54)</f>
        <v>0</v>
      </c>
      <c r="J48" s="323"/>
      <c r="K48" s="254">
        <f>SUM($I$2)</f>
        <v>110000</v>
      </c>
      <c r="L48" s="279"/>
      <c r="M48" s="326">
        <f>SUM(Provisionsstaffel!E13)</f>
        <v>0</v>
      </c>
      <c r="N48" s="327"/>
      <c r="O48" s="328"/>
      <c r="P48" s="326" t="e">
        <f>SUM(Provisionsstaffel!D13)</f>
        <v>#N/A</v>
      </c>
      <c r="Q48" s="327"/>
      <c r="R48" s="332"/>
      <c r="S48" s="93"/>
      <c r="T48" s="93"/>
      <c r="U48" s="93"/>
      <c r="V48" s="93"/>
      <c r="W48" s="273"/>
      <c r="X48" s="267"/>
      <c r="Y48" s="289"/>
      <c r="Z48" s="290"/>
      <c r="AA48" s="250"/>
      <c r="AB48" s="251"/>
      <c r="AC48" s="94"/>
    </row>
    <row r="49" spans="1:29" ht="26.25" thickBot="1" x14ac:dyDescent="0.65">
      <c r="A49" s="83"/>
      <c r="B49" s="84"/>
      <c r="C49" s="144"/>
      <c r="D49" s="91"/>
      <c r="E49" s="160"/>
      <c r="F49" s="96"/>
      <c r="G49" s="87"/>
      <c r="H49" s="142">
        <f t="shared" si="3"/>
        <v>0</v>
      </c>
      <c r="I49" s="324"/>
      <c r="J49" s="325"/>
      <c r="K49" s="256"/>
      <c r="L49" s="280"/>
      <c r="M49" s="329"/>
      <c r="N49" s="330"/>
      <c r="O49" s="331"/>
      <c r="P49" s="329"/>
      <c r="Q49" s="330"/>
      <c r="R49" s="333"/>
      <c r="S49" s="93"/>
      <c r="T49" s="93"/>
      <c r="U49" s="93"/>
      <c r="V49" s="93"/>
      <c r="W49" s="93"/>
      <c r="X49" s="93"/>
      <c r="Y49" s="291"/>
      <c r="Z49" s="292"/>
      <c r="AA49" s="252"/>
      <c r="AB49" s="253"/>
      <c r="AC49" s="94"/>
    </row>
    <row r="50" spans="1:29" ht="25.5" x14ac:dyDescent="0.6">
      <c r="A50" s="83"/>
      <c r="B50" s="84"/>
      <c r="C50" s="144"/>
      <c r="D50" s="91"/>
      <c r="E50" s="160"/>
      <c r="F50" s="96"/>
      <c r="G50" s="87"/>
      <c r="H50" s="142">
        <f t="shared" si="3"/>
        <v>0</v>
      </c>
      <c r="I50" s="298" t="s">
        <v>35</v>
      </c>
      <c r="J50" s="299"/>
      <c r="K50" s="304" t="s">
        <v>31</v>
      </c>
      <c r="L50" s="299"/>
      <c r="M50" s="304" t="s">
        <v>30</v>
      </c>
      <c r="N50" s="307"/>
      <c r="O50" s="299"/>
      <c r="P50" s="309" t="s">
        <v>34</v>
      </c>
      <c r="Q50" s="310"/>
      <c r="R50" s="311"/>
      <c r="S50" s="309" t="s">
        <v>48</v>
      </c>
      <c r="T50" s="317"/>
      <c r="U50" s="262" t="s">
        <v>45</v>
      </c>
      <c r="V50" s="263"/>
      <c r="W50" s="293" t="s">
        <v>47</v>
      </c>
      <c r="X50" s="263"/>
      <c r="Y50" s="293" t="s">
        <v>36</v>
      </c>
      <c r="Z50" s="263"/>
      <c r="AA50" s="293" t="s">
        <v>57</v>
      </c>
      <c r="AB50" s="295"/>
      <c r="AC50" s="94"/>
    </row>
    <row r="51" spans="1:29" ht="25.5" x14ac:dyDescent="0.6">
      <c r="A51" s="83"/>
      <c r="B51" s="84"/>
      <c r="C51" s="144"/>
      <c r="D51" s="91"/>
      <c r="E51" s="160"/>
      <c r="F51" s="96"/>
      <c r="G51" s="87"/>
      <c r="H51" s="142">
        <f t="shared" si="3"/>
        <v>0</v>
      </c>
      <c r="I51" s="300"/>
      <c r="J51" s="301"/>
      <c r="K51" s="305"/>
      <c r="L51" s="301"/>
      <c r="M51" s="305"/>
      <c r="N51" s="212"/>
      <c r="O51" s="301"/>
      <c r="P51" s="312"/>
      <c r="Q51" s="202"/>
      <c r="R51" s="313"/>
      <c r="S51" s="312"/>
      <c r="T51" s="318"/>
      <c r="U51" s="264"/>
      <c r="V51" s="265"/>
      <c r="W51" s="294"/>
      <c r="X51" s="265"/>
      <c r="Y51" s="294"/>
      <c r="Z51" s="265"/>
      <c r="AA51" s="294"/>
      <c r="AB51" s="296"/>
      <c r="AC51" s="94"/>
    </row>
    <row r="52" spans="1:29" ht="25.5" x14ac:dyDescent="0.6">
      <c r="A52" s="161"/>
      <c r="B52" s="162"/>
      <c r="C52" s="163"/>
      <c r="D52" s="91"/>
      <c r="E52" s="163"/>
      <c r="F52" s="164"/>
      <c r="G52" s="87"/>
      <c r="H52" s="142">
        <f t="shared" si="3"/>
        <v>0</v>
      </c>
      <c r="I52" s="302"/>
      <c r="J52" s="303"/>
      <c r="K52" s="306"/>
      <c r="L52" s="303"/>
      <c r="M52" s="306"/>
      <c r="N52" s="308"/>
      <c r="O52" s="303"/>
      <c r="P52" s="314"/>
      <c r="Q52" s="315"/>
      <c r="R52" s="316"/>
      <c r="S52" s="314"/>
      <c r="T52" s="319"/>
      <c r="U52" s="266"/>
      <c r="V52" s="267"/>
      <c r="W52" s="273"/>
      <c r="X52" s="267"/>
      <c r="Y52" s="273"/>
      <c r="Z52" s="267"/>
      <c r="AA52" s="273"/>
      <c r="AB52" s="297"/>
      <c r="AC52" s="94"/>
    </row>
    <row r="53" spans="1:29" ht="25.5" x14ac:dyDescent="0.6">
      <c r="A53" s="83"/>
      <c r="B53" s="84"/>
      <c r="C53" s="144"/>
      <c r="D53" s="144"/>
      <c r="E53" s="144"/>
      <c r="F53" s="96"/>
      <c r="G53" s="87"/>
      <c r="H53" s="142">
        <f t="shared" si="3"/>
        <v>0</v>
      </c>
      <c r="I53" s="281">
        <f>SUM(I41,I48)</f>
        <v>129945.23000000001</v>
      </c>
      <c r="J53" s="279"/>
      <c r="K53" s="254">
        <f>SUM(K48,K41)</f>
        <v>440000</v>
      </c>
      <c r="L53" s="279"/>
      <c r="M53" s="274">
        <f>SUM(Provisionsstaffel!L13)</f>
        <v>0.3</v>
      </c>
      <c r="N53" s="275"/>
      <c r="O53" s="276"/>
      <c r="P53" s="274" t="e">
        <f>SUM(Provisionsstaffel!M13)</f>
        <v>#N/A</v>
      </c>
      <c r="Q53" s="275"/>
      <c r="R53" s="276"/>
      <c r="S53" s="283" t="e">
        <f>SUM(Provisionsstaffel!N13)</f>
        <v>#N/A</v>
      </c>
      <c r="T53" s="284"/>
      <c r="U53" s="281" t="e">
        <f>SUM(S53*0.8)</f>
        <v>#N/A</v>
      </c>
      <c r="V53" s="279"/>
      <c r="W53" s="254" t="e">
        <f>SUM(S53*0.2)</f>
        <v>#N/A</v>
      </c>
      <c r="X53" s="279"/>
      <c r="Y53" s="258">
        <f>SUM(Y41,Y48)</f>
        <v>0</v>
      </c>
      <c r="Z53" s="259"/>
      <c r="AA53" s="254" t="e">
        <f>SUM(S53-Y53)</f>
        <v>#N/A</v>
      </c>
      <c r="AB53" s="255"/>
      <c r="AC53" s="94"/>
    </row>
    <row r="54" spans="1:29" ht="26.25" thickBot="1" x14ac:dyDescent="0.65">
      <c r="A54" s="165"/>
      <c r="B54" s="166"/>
      <c r="C54" s="167"/>
      <c r="D54" s="167"/>
      <c r="E54" s="167"/>
      <c r="F54" s="168"/>
      <c r="G54" s="169"/>
      <c r="H54" s="149">
        <f t="shared" si="3"/>
        <v>0</v>
      </c>
      <c r="I54" s="282"/>
      <c r="J54" s="280"/>
      <c r="K54" s="256"/>
      <c r="L54" s="280"/>
      <c r="M54" s="277"/>
      <c r="N54" s="198"/>
      <c r="O54" s="278"/>
      <c r="P54" s="277"/>
      <c r="Q54" s="198"/>
      <c r="R54" s="278"/>
      <c r="S54" s="285"/>
      <c r="T54" s="286"/>
      <c r="U54" s="282"/>
      <c r="V54" s="280"/>
      <c r="W54" s="256"/>
      <c r="X54" s="280"/>
      <c r="Y54" s="260"/>
      <c r="Z54" s="261"/>
      <c r="AA54" s="256"/>
      <c r="AB54" s="257"/>
      <c r="AC54" s="106"/>
    </row>
    <row r="55" spans="1:29" ht="8.85" customHeight="1" x14ac:dyDescent="0.6">
      <c r="A55" s="71"/>
      <c r="B55" s="71"/>
      <c r="C55" s="71"/>
      <c r="D55" s="71"/>
      <c r="E55" s="71"/>
      <c r="F55" s="170"/>
      <c r="G55" s="171"/>
      <c r="H55" s="172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</row>
    <row r="56" spans="1:29" ht="25.5" x14ac:dyDescent="0.6">
      <c r="A56" s="71"/>
      <c r="B56" s="71"/>
      <c r="C56" s="71"/>
      <c r="D56" s="71"/>
      <c r="E56" s="71"/>
      <c r="F56" s="170"/>
      <c r="G56" s="171"/>
      <c r="H56" s="172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</row>
    <row r="57" spans="1:29" ht="25.5" x14ac:dyDescent="0.6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</row>
    <row r="58" spans="1:29" ht="25.5" x14ac:dyDescent="0.6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</row>
    <row r="59" spans="1:29" ht="25.5" x14ac:dyDescent="0.6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</row>
    <row r="60" spans="1:29" ht="25.5" x14ac:dyDescent="0.6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</row>
    <row r="61" spans="1:29" ht="25.5" x14ac:dyDescent="0.6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</row>
    <row r="62" spans="1:29" x14ac:dyDescent="0.25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9" x14ac:dyDescent="0.25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9" x14ac:dyDescent="0.25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pans="6:8" s="3" customFormat="1" x14ac:dyDescent="0.25"/>
    <row r="82" spans="6:8" s="3" customFormat="1" x14ac:dyDescent="0.25"/>
    <row r="83" spans="6:8" s="3" customFormat="1" x14ac:dyDescent="0.25"/>
    <row r="84" spans="6:8" s="3" customFormat="1" x14ac:dyDescent="0.25"/>
    <row r="85" spans="6:8" s="3" customFormat="1" x14ac:dyDescent="0.25"/>
    <row r="86" spans="6:8" s="3" customFormat="1" x14ac:dyDescent="0.25"/>
    <row r="87" spans="6:8" s="3" customFormat="1" x14ac:dyDescent="0.25"/>
    <row r="88" spans="6:8" s="3" customFormat="1" x14ac:dyDescent="0.25"/>
    <row r="89" spans="6:8" s="3" customFormat="1" x14ac:dyDescent="0.25"/>
    <row r="90" spans="6:8" s="3" customFormat="1" x14ac:dyDescent="0.25"/>
    <row r="91" spans="6:8" s="3" customFormat="1" x14ac:dyDescent="0.25"/>
    <row r="92" spans="6:8" s="3" customFormat="1" x14ac:dyDescent="0.25"/>
    <row r="93" spans="6:8" s="3" customFormat="1" x14ac:dyDescent="0.25"/>
    <row r="94" spans="6:8" s="3" customFormat="1" x14ac:dyDescent="0.25">
      <c r="F94" s="6"/>
      <c r="G94" s="7"/>
      <c r="H94" s="8"/>
    </row>
    <row r="95" spans="6:8" s="3" customFormat="1" x14ac:dyDescent="0.25">
      <c r="F95" s="6"/>
      <c r="G95" s="7"/>
      <c r="H95" s="8"/>
    </row>
    <row r="96" spans="6:8" s="3" customFormat="1" x14ac:dyDescent="0.25">
      <c r="F96" s="6"/>
      <c r="G96" s="7"/>
      <c r="H96" s="8"/>
    </row>
    <row r="97" spans="6:8" s="3" customFormat="1" x14ac:dyDescent="0.25">
      <c r="F97" s="6"/>
      <c r="G97" s="7"/>
      <c r="H97" s="8"/>
    </row>
    <row r="98" spans="6:8" s="3" customFormat="1" x14ac:dyDescent="0.25">
      <c r="F98" s="6"/>
      <c r="G98" s="7"/>
      <c r="H98" s="8"/>
    </row>
    <row r="99" spans="6:8" s="3" customFormat="1" x14ac:dyDescent="0.25">
      <c r="F99" s="6"/>
      <c r="G99" s="7"/>
      <c r="H99" s="8"/>
    </row>
    <row r="100" spans="6:8" s="3" customFormat="1" x14ac:dyDescent="0.25">
      <c r="F100" s="6"/>
      <c r="G100" s="7"/>
      <c r="H100" s="8"/>
    </row>
    <row r="101" spans="6:8" s="3" customFormat="1" x14ac:dyDescent="0.25">
      <c r="F101" s="6"/>
      <c r="G101" s="7"/>
      <c r="H101" s="8"/>
    </row>
    <row r="102" spans="6:8" s="3" customFormat="1" x14ac:dyDescent="0.25">
      <c r="F102" s="6"/>
      <c r="G102" s="7"/>
      <c r="H102" s="8"/>
    </row>
    <row r="103" spans="6:8" s="3" customFormat="1" x14ac:dyDescent="0.25">
      <c r="F103" s="6"/>
      <c r="G103" s="7"/>
      <c r="H103" s="8"/>
    </row>
    <row r="104" spans="6:8" s="3" customFormat="1" x14ac:dyDescent="0.25">
      <c r="F104" s="6"/>
      <c r="G104" s="7"/>
      <c r="H104" s="8"/>
    </row>
    <row r="105" spans="6:8" s="3" customFormat="1" x14ac:dyDescent="0.25">
      <c r="F105" s="6"/>
      <c r="G105" s="7"/>
      <c r="H105" s="8"/>
    </row>
    <row r="106" spans="6:8" s="3" customFormat="1" x14ac:dyDescent="0.25">
      <c r="F106" s="6"/>
      <c r="G106" s="7"/>
      <c r="H106" s="8"/>
    </row>
    <row r="107" spans="6:8" s="3" customFormat="1" x14ac:dyDescent="0.25">
      <c r="F107" s="6"/>
      <c r="G107" s="7"/>
      <c r="H107" s="8"/>
    </row>
    <row r="108" spans="6:8" s="3" customFormat="1" x14ac:dyDescent="0.25">
      <c r="F108" s="6"/>
      <c r="G108" s="7"/>
      <c r="H108" s="8"/>
    </row>
    <row r="109" spans="6:8" s="3" customFormat="1" x14ac:dyDescent="0.25">
      <c r="F109" s="6"/>
      <c r="G109" s="7"/>
      <c r="H109" s="8"/>
    </row>
    <row r="110" spans="6:8" s="3" customFormat="1" x14ac:dyDescent="0.25">
      <c r="F110" s="6"/>
      <c r="G110" s="7"/>
      <c r="H110" s="8"/>
    </row>
    <row r="111" spans="6:8" s="3" customFormat="1" x14ac:dyDescent="0.25">
      <c r="F111" s="6"/>
      <c r="G111" s="7"/>
      <c r="H111" s="8"/>
    </row>
    <row r="112" spans="6:8" s="3" customFormat="1" x14ac:dyDescent="0.25">
      <c r="F112" s="6"/>
      <c r="G112" s="7"/>
      <c r="H112" s="8"/>
    </row>
    <row r="113" spans="6:8" s="3" customFormat="1" x14ac:dyDescent="0.25">
      <c r="F113" s="6"/>
      <c r="G113" s="7"/>
      <c r="H113" s="8"/>
    </row>
    <row r="114" spans="6:8" s="3" customFormat="1" x14ac:dyDescent="0.25">
      <c r="F114" s="6"/>
      <c r="G114" s="7"/>
      <c r="H114" s="8"/>
    </row>
    <row r="115" spans="6:8" s="3" customFormat="1" x14ac:dyDescent="0.25">
      <c r="F115" s="6"/>
      <c r="G115" s="7"/>
      <c r="H115" s="8"/>
    </row>
    <row r="116" spans="6:8" s="3" customFormat="1" x14ac:dyDescent="0.25">
      <c r="F116" s="6"/>
      <c r="G116" s="7"/>
      <c r="H116" s="8"/>
    </row>
    <row r="117" spans="6:8" s="3" customFormat="1" x14ac:dyDescent="0.25">
      <c r="F117" s="6"/>
      <c r="G117" s="7"/>
      <c r="H117" s="8"/>
    </row>
    <row r="118" spans="6:8" s="3" customFormat="1" x14ac:dyDescent="0.25">
      <c r="F118" s="6"/>
      <c r="G118" s="7"/>
      <c r="H118" s="8"/>
    </row>
    <row r="119" spans="6:8" s="3" customFormat="1" x14ac:dyDescent="0.25">
      <c r="F119" s="6"/>
      <c r="G119" s="7"/>
      <c r="H119" s="8"/>
    </row>
    <row r="120" spans="6:8" s="3" customFormat="1" x14ac:dyDescent="0.25">
      <c r="F120" s="6"/>
      <c r="G120" s="7"/>
      <c r="H120" s="8"/>
    </row>
    <row r="121" spans="6:8" s="3" customFormat="1" x14ac:dyDescent="0.25">
      <c r="F121" s="6"/>
      <c r="G121" s="7"/>
      <c r="H121" s="8"/>
    </row>
    <row r="122" spans="6:8" s="3" customFormat="1" x14ac:dyDescent="0.25">
      <c r="F122" s="6"/>
      <c r="G122" s="7"/>
      <c r="H122" s="8"/>
    </row>
    <row r="123" spans="6:8" s="3" customFormat="1" x14ac:dyDescent="0.25">
      <c r="F123" s="6"/>
      <c r="G123" s="7"/>
      <c r="H123" s="8"/>
    </row>
    <row r="124" spans="6:8" s="3" customFormat="1" x14ac:dyDescent="0.25">
      <c r="F124" s="6"/>
      <c r="G124" s="7"/>
      <c r="H124" s="8"/>
    </row>
    <row r="125" spans="6:8" s="3" customFormat="1" x14ac:dyDescent="0.25">
      <c r="F125" s="6"/>
      <c r="G125" s="7"/>
      <c r="H125" s="8"/>
    </row>
    <row r="126" spans="6:8" s="3" customFormat="1" x14ac:dyDescent="0.25">
      <c r="F126" s="6"/>
      <c r="G126" s="7"/>
      <c r="H126" s="8"/>
    </row>
    <row r="127" spans="6:8" s="3" customFormat="1" x14ac:dyDescent="0.25">
      <c r="F127" s="6"/>
      <c r="G127" s="7"/>
      <c r="H127" s="8"/>
    </row>
    <row r="128" spans="6:8" s="3" customFormat="1" x14ac:dyDescent="0.25">
      <c r="F128" s="6"/>
      <c r="G128" s="7"/>
      <c r="H128" s="8"/>
    </row>
    <row r="129" spans="6:8" s="3" customFormat="1" x14ac:dyDescent="0.25">
      <c r="F129" s="6"/>
      <c r="G129" s="7"/>
      <c r="H129" s="8"/>
    </row>
    <row r="130" spans="6:8" s="3" customFormat="1" x14ac:dyDescent="0.25">
      <c r="F130" s="6"/>
      <c r="G130" s="7"/>
      <c r="H130" s="8"/>
    </row>
    <row r="131" spans="6:8" s="3" customFormat="1" x14ac:dyDescent="0.25">
      <c r="F131" s="6"/>
      <c r="G131" s="7"/>
      <c r="H131" s="8"/>
    </row>
    <row r="132" spans="6:8" s="3" customFormat="1" x14ac:dyDescent="0.25">
      <c r="F132" s="6"/>
      <c r="G132" s="7"/>
      <c r="H132" s="8"/>
    </row>
    <row r="133" spans="6:8" s="3" customFormat="1" x14ac:dyDescent="0.25">
      <c r="F133" s="6"/>
      <c r="G133" s="7"/>
      <c r="H133" s="8"/>
    </row>
    <row r="134" spans="6:8" s="3" customFormat="1" x14ac:dyDescent="0.25">
      <c r="F134" s="6"/>
      <c r="G134" s="7"/>
      <c r="H134" s="8"/>
    </row>
    <row r="135" spans="6:8" s="3" customFormat="1" x14ac:dyDescent="0.25">
      <c r="F135" s="6"/>
      <c r="G135" s="7"/>
      <c r="H135" s="8"/>
    </row>
    <row r="136" spans="6:8" s="3" customFormat="1" x14ac:dyDescent="0.25">
      <c r="F136" s="6"/>
      <c r="G136" s="7"/>
      <c r="H136" s="8"/>
    </row>
    <row r="137" spans="6:8" s="3" customFormat="1" x14ac:dyDescent="0.25">
      <c r="F137" s="6"/>
      <c r="G137" s="7"/>
      <c r="H137" s="8"/>
    </row>
    <row r="138" spans="6:8" s="3" customFormat="1" x14ac:dyDescent="0.25">
      <c r="F138" s="6"/>
      <c r="G138" s="7"/>
      <c r="H138" s="8"/>
    </row>
    <row r="139" spans="6:8" s="3" customFormat="1" x14ac:dyDescent="0.25">
      <c r="F139" s="6"/>
      <c r="G139" s="7"/>
      <c r="H139" s="8"/>
    </row>
    <row r="140" spans="6:8" s="3" customFormat="1" x14ac:dyDescent="0.25">
      <c r="F140" s="6"/>
      <c r="G140" s="7"/>
      <c r="H140" s="8"/>
    </row>
    <row r="141" spans="6:8" s="3" customFormat="1" x14ac:dyDescent="0.25">
      <c r="F141" s="6"/>
      <c r="G141" s="7"/>
      <c r="H141" s="8"/>
    </row>
    <row r="142" spans="6:8" s="3" customFormat="1" x14ac:dyDescent="0.25">
      <c r="F142" s="6"/>
      <c r="G142" s="7"/>
      <c r="H142" s="8"/>
    </row>
    <row r="143" spans="6:8" s="3" customFormat="1" x14ac:dyDescent="0.25">
      <c r="F143" s="6"/>
      <c r="G143" s="7"/>
      <c r="H143" s="8"/>
    </row>
    <row r="144" spans="6:8" s="3" customFormat="1" x14ac:dyDescent="0.25">
      <c r="F144" s="6"/>
      <c r="G144" s="7"/>
      <c r="H144" s="8"/>
    </row>
    <row r="145" spans="6:8" s="3" customFormat="1" x14ac:dyDescent="0.25">
      <c r="F145" s="6"/>
      <c r="G145" s="7"/>
      <c r="H145" s="8"/>
    </row>
    <row r="146" spans="6:8" s="3" customFormat="1" x14ac:dyDescent="0.25">
      <c r="F146" s="6"/>
      <c r="G146" s="7"/>
      <c r="H146" s="8"/>
    </row>
    <row r="147" spans="6:8" s="3" customFormat="1" x14ac:dyDescent="0.25">
      <c r="F147" s="6"/>
      <c r="G147" s="7"/>
      <c r="H147" s="8"/>
    </row>
    <row r="148" spans="6:8" s="3" customFormat="1" x14ac:dyDescent="0.25">
      <c r="F148" s="6"/>
      <c r="G148" s="7"/>
      <c r="H148" s="8"/>
    </row>
    <row r="149" spans="6:8" s="3" customFormat="1" x14ac:dyDescent="0.25">
      <c r="F149" s="6"/>
      <c r="G149" s="7"/>
      <c r="H149" s="8"/>
    </row>
    <row r="150" spans="6:8" s="3" customFormat="1" x14ac:dyDescent="0.25">
      <c r="F150" s="6"/>
      <c r="G150" s="7"/>
      <c r="H150" s="8"/>
    </row>
    <row r="151" spans="6:8" s="3" customFormat="1" x14ac:dyDescent="0.25">
      <c r="F151" s="6"/>
      <c r="G151" s="7"/>
      <c r="H151" s="8"/>
    </row>
    <row r="152" spans="6:8" s="3" customFormat="1" x14ac:dyDescent="0.25">
      <c r="F152" s="6"/>
      <c r="G152" s="7"/>
      <c r="H152" s="8"/>
    </row>
    <row r="153" spans="6:8" s="3" customFormat="1" x14ac:dyDescent="0.25">
      <c r="F153" s="6"/>
      <c r="G153" s="7"/>
      <c r="H153" s="8"/>
    </row>
    <row r="154" spans="6:8" s="3" customFormat="1" x14ac:dyDescent="0.25">
      <c r="F154" s="6"/>
      <c r="G154" s="7"/>
      <c r="H154" s="8"/>
    </row>
    <row r="155" spans="6:8" s="3" customFormat="1" x14ac:dyDescent="0.25">
      <c r="F155" s="6"/>
      <c r="G155" s="7"/>
      <c r="H155" s="8"/>
    </row>
    <row r="156" spans="6:8" s="3" customFormat="1" x14ac:dyDescent="0.25">
      <c r="F156" s="6"/>
      <c r="G156" s="7"/>
      <c r="H156" s="8"/>
    </row>
    <row r="157" spans="6:8" s="3" customFormat="1" x14ac:dyDescent="0.25">
      <c r="F157" s="6"/>
      <c r="G157" s="7"/>
      <c r="H157" s="8"/>
    </row>
    <row r="158" spans="6:8" s="3" customFormat="1" x14ac:dyDescent="0.25">
      <c r="F158" s="6"/>
      <c r="G158" s="7"/>
      <c r="H158" s="8"/>
    </row>
    <row r="159" spans="6:8" s="3" customFormat="1" x14ac:dyDescent="0.25">
      <c r="F159" s="6"/>
      <c r="G159" s="7"/>
      <c r="H159" s="8"/>
    </row>
    <row r="160" spans="6:8" s="3" customFormat="1" x14ac:dyDescent="0.25">
      <c r="F160" s="6"/>
      <c r="G160" s="7"/>
      <c r="H160" s="8"/>
    </row>
    <row r="161" spans="6:8" s="3" customFormat="1" x14ac:dyDescent="0.25">
      <c r="F161" s="6"/>
      <c r="G161" s="7"/>
      <c r="H161" s="8"/>
    </row>
    <row r="162" spans="6:8" s="3" customFormat="1" x14ac:dyDescent="0.25">
      <c r="F162" s="6"/>
      <c r="G162" s="7"/>
      <c r="H162" s="8"/>
    </row>
    <row r="163" spans="6:8" s="3" customFormat="1" x14ac:dyDescent="0.25">
      <c r="F163" s="6"/>
      <c r="G163" s="7"/>
      <c r="H163" s="8"/>
    </row>
    <row r="164" spans="6:8" s="3" customFormat="1" x14ac:dyDescent="0.25">
      <c r="F164" s="6"/>
      <c r="G164" s="7"/>
      <c r="H164" s="8"/>
    </row>
    <row r="165" spans="6:8" s="3" customFormat="1" x14ac:dyDescent="0.25">
      <c r="F165" s="6"/>
      <c r="G165" s="7"/>
      <c r="H165" s="8"/>
    </row>
    <row r="166" spans="6:8" s="3" customFormat="1" x14ac:dyDescent="0.25">
      <c r="F166" s="6"/>
      <c r="G166" s="7"/>
      <c r="H166" s="8"/>
    </row>
    <row r="167" spans="6:8" s="3" customFormat="1" x14ac:dyDescent="0.25">
      <c r="F167" s="6"/>
      <c r="G167" s="7"/>
      <c r="H167" s="8"/>
    </row>
    <row r="168" spans="6:8" s="3" customFormat="1" x14ac:dyDescent="0.25">
      <c r="F168" s="6"/>
      <c r="G168" s="7"/>
      <c r="H168" s="8"/>
    </row>
    <row r="169" spans="6:8" s="3" customFormat="1" x14ac:dyDescent="0.25">
      <c r="F169" s="6"/>
      <c r="G169" s="7"/>
      <c r="H169" s="8"/>
    </row>
    <row r="170" spans="6:8" s="3" customFormat="1" x14ac:dyDescent="0.25">
      <c r="F170" s="6"/>
      <c r="G170" s="7"/>
      <c r="H170" s="8"/>
    </row>
    <row r="171" spans="6:8" s="3" customFormat="1" x14ac:dyDescent="0.25">
      <c r="F171" s="6"/>
      <c r="G171" s="7"/>
      <c r="H171" s="8"/>
    </row>
    <row r="172" spans="6:8" s="3" customFormat="1" x14ac:dyDescent="0.25">
      <c r="F172" s="6"/>
      <c r="G172" s="7"/>
      <c r="H172" s="8"/>
    </row>
    <row r="173" spans="6:8" s="3" customFormat="1" x14ac:dyDescent="0.25">
      <c r="F173" s="6"/>
      <c r="G173" s="7"/>
      <c r="H173" s="8"/>
    </row>
    <row r="174" spans="6:8" s="3" customFormat="1" x14ac:dyDescent="0.25">
      <c r="F174" s="6"/>
      <c r="G174" s="7"/>
      <c r="H174" s="8"/>
    </row>
    <row r="175" spans="6:8" s="3" customFormat="1" x14ac:dyDescent="0.25">
      <c r="F175" s="6"/>
      <c r="G175" s="7"/>
      <c r="H175" s="8"/>
    </row>
    <row r="176" spans="6:8" s="3" customFormat="1" x14ac:dyDescent="0.25">
      <c r="F176" s="6"/>
      <c r="G176" s="7"/>
      <c r="H176" s="8"/>
    </row>
    <row r="177" spans="6:8" s="3" customFormat="1" x14ac:dyDescent="0.25">
      <c r="F177" s="6"/>
      <c r="G177" s="7"/>
      <c r="H177" s="8"/>
    </row>
    <row r="178" spans="6:8" s="3" customFormat="1" x14ac:dyDescent="0.25">
      <c r="F178" s="6"/>
      <c r="G178" s="7"/>
      <c r="H178" s="8"/>
    </row>
    <row r="179" spans="6:8" s="3" customFormat="1" x14ac:dyDescent="0.25">
      <c r="F179" s="6"/>
      <c r="G179" s="7"/>
      <c r="H179" s="8"/>
    </row>
    <row r="180" spans="6:8" s="3" customFormat="1" x14ac:dyDescent="0.25">
      <c r="F180" s="6"/>
      <c r="G180" s="7"/>
      <c r="H180" s="8"/>
    </row>
    <row r="181" spans="6:8" s="3" customFormat="1" x14ac:dyDescent="0.25">
      <c r="F181" s="6"/>
      <c r="G181" s="1"/>
      <c r="H181" s="6"/>
    </row>
    <row r="182" spans="6:8" s="3" customFormat="1" x14ac:dyDescent="0.25">
      <c r="F182" s="6"/>
      <c r="G182" s="1"/>
      <c r="H182" s="6"/>
    </row>
    <row r="183" spans="6:8" s="3" customFormat="1" x14ac:dyDescent="0.25">
      <c r="F183" s="6"/>
      <c r="G183" s="1"/>
      <c r="H183" s="6"/>
    </row>
    <row r="184" spans="6:8" s="3" customFormat="1" x14ac:dyDescent="0.25">
      <c r="F184" s="6"/>
      <c r="G184" s="1"/>
      <c r="H184" s="6"/>
    </row>
    <row r="185" spans="6:8" s="3" customFormat="1" x14ac:dyDescent="0.25">
      <c r="F185" s="6"/>
      <c r="G185" s="1"/>
      <c r="H185" s="6"/>
    </row>
    <row r="186" spans="6:8" s="3" customFormat="1" x14ac:dyDescent="0.25">
      <c r="F186" s="6"/>
      <c r="G186" s="1"/>
      <c r="H186" s="6"/>
    </row>
    <row r="187" spans="6:8" s="3" customFormat="1" x14ac:dyDescent="0.25">
      <c r="F187" s="6"/>
      <c r="G187" s="1"/>
      <c r="H187" s="6"/>
    </row>
    <row r="188" spans="6:8" s="3" customFormat="1" x14ac:dyDescent="0.25">
      <c r="F188" s="6"/>
      <c r="G188" s="1"/>
      <c r="H188" s="6"/>
    </row>
    <row r="189" spans="6:8" s="3" customFormat="1" x14ac:dyDescent="0.25">
      <c r="F189" s="6"/>
      <c r="G189" s="1"/>
      <c r="H189" s="6"/>
    </row>
    <row r="190" spans="6:8" s="3" customFormat="1" x14ac:dyDescent="0.25">
      <c r="F190" s="6"/>
      <c r="G190" s="1"/>
      <c r="H190" s="6"/>
    </row>
    <row r="191" spans="6:8" s="3" customFormat="1" x14ac:dyDescent="0.25">
      <c r="F191" s="6"/>
      <c r="G191" s="1"/>
      <c r="H191" s="6"/>
    </row>
    <row r="192" spans="6:8" s="3" customFormat="1" x14ac:dyDescent="0.25">
      <c r="F192" s="6"/>
      <c r="G192" s="1"/>
      <c r="H192" s="6"/>
    </row>
    <row r="193" spans="6:8" s="3" customFormat="1" x14ac:dyDescent="0.25">
      <c r="F193" s="6"/>
      <c r="G193" s="1"/>
      <c r="H193" s="6"/>
    </row>
    <row r="194" spans="6:8" s="3" customFormat="1" x14ac:dyDescent="0.25">
      <c r="F194" s="6"/>
      <c r="G194" s="1"/>
      <c r="H194" s="6"/>
    </row>
    <row r="195" spans="6:8" s="3" customFormat="1" x14ac:dyDescent="0.25">
      <c r="F195" s="6"/>
      <c r="G195" s="1"/>
      <c r="H195" s="6"/>
    </row>
    <row r="196" spans="6:8" s="3" customFormat="1" x14ac:dyDescent="0.25">
      <c r="F196" s="6"/>
      <c r="G196" s="1"/>
      <c r="H196" s="6"/>
    </row>
    <row r="197" spans="6:8" s="3" customFormat="1" x14ac:dyDescent="0.25">
      <c r="F197" s="6"/>
      <c r="G197" s="1"/>
      <c r="H197" s="6"/>
    </row>
    <row r="198" spans="6:8" s="3" customFormat="1" x14ac:dyDescent="0.25">
      <c r="F198" s="6"/>
      <c r="G198" s="1"/>
      <c r="H198" s="6"/>
    </row>
    <row r="199" spans="6:8" s="3" customFormat="1" x14ac:dyDescent="0.25">
      <c r="F199" s="6"/>
      <c r="G199" s="1"/>
      <c r="H199" s="6"/>
    </row>
    <row r="200" spans="6:8" s="3" customFormat="1" x14ac:dyDescent="0.25">
      <c r="F200" s="6"/>
      <c r="G200" s="1"/>
      <c r="H200" s="6"/>
    </row>
    <row r="201" spans="6:8" s="3" customFormat="1" x14ac:dyDescent="0.25">
      <c r="F201" s="6"/>
      <c r="G201" s="1"/>
      <c r="H201" s="6"/>
    </row>
    <row r="202" spans="6:8" s="3" customFormat="1" x14ac:dyDescent="0.25">
      <c r="F202" s="6"/>
      <c r="G202" s="1"/>
      <c r="H202" s="6"/>
    </row>
    <row r="203" spans="6:8" s="3" customFormat="1" x14ac:dyDescent="0.25">
      <c r="F203" s="6"/>
      <c r="G203" s="1"/>
      <c r="H203" s="6"/>
    </row>
    <row r="204" spans="6:8" s="3" customFormat="1" x14ac:dyDescent="0.25">
      <c r="F204" s="6"/>
      <c r="G204" s="1"/>
      <c r="H204" s="6"/>
    </row>
    <row r="205" spans="6:8" s="3" customFormat="1" x14ac:dyDescent="0.25">
      <c r="F205" s="6"/>
      <c r="G205" s="1"/>
      <c r="H205" s="6"/>
    </row>
    <row r="206" spans="6:8" s="3" customFormat="1" x14ac:dyDescent="0.25">
      <c r="F206" s="6"/>
      <c r="G206" s="1"/>
      <c r="H206" s="6"/>
    </row>
    <row r="207" spans="6:8" s="3" customFormat="1" x14ac:dyDescent="0.25">
      <c r="F207" s="6"/>
      <c r="G207" s="1"/>
      <c r="H207" s="6"/>
    </row>
    <row r="208" spans="6:8" s="3" customFormat="1" x14ac:dyDescent="0.25">
      <c r="F208" s="6"/>
      <c r="G208" s="1"/>
      <c r="H208" s="6"/>
    </row>
    <row r="209" spans="6:8" s="3" customFormat="1" x14ac:dyDescent="0.25">
      <c r="F209" s="6"/>
      <c r="G209" s="1"/>
      <c r="H209" s="6"/>
    </row>
    <row r="210" spans="6:8" s="3" customFormat="1" x14ac:dyDescent="0.25">
      <c r="F210" s="6"/>
      <c r="G210" s="1"/>
      <c r="H210" s="6"/>
    </row>
    <row r="211" spans="6:8" s="3" customFormat="1" x14ac:dyDescent="0.25">
      <c r="F211" s="6"/>
      <c r="G211" s="1"/>
      <c r="H211" s="6"/>
    </row>
    <row r="212" spans="6:8" s="3" customFormat="1" x14ac:dyDescent="0.25">
      <c r="F212" s="6"/>
      <c r="G212" s="1"/>
      <c r="H212" s="6"/>
    </row>
    <row r="213" spans="6:8" s="3" customFormat="1" x14ac:dyDescent="0.25">
      <c r="F213" s="6"/>
      <c r="G213" s="1"/>
      <c r="H213" s="6"/>
    </row>
    <row r="214" spans="6:8" s="3" customFormat="1" x14ac:dyDescent="0.25">
      <c r="F214" s="6"/>
      <c r="G214" s="1"/>
      <c r="H214" s="6"/>
    </row>
    <row r="215" spans="6:8" s="3" customFormat="1" x14ac:dyDescent="0.25">
      <c r="F215" s="6"/>
      <c r="G215" s="1"/>
      <c r="H215" s="6"/>
    </row>
    <row r="216" spans="6:8" s="3" customFormat="1" x14ac:dyDescent="0.25">
      <c r="F216" s="6"/>
      <c r="G216" s="1"/>
      <c r="H216" s="6"/>
    </row>
    <row r="217" spans="6:8" s="3" customFormat="1" x14ac:dyDescent="0.25">
      <c r="F217" s="6"/>
      <c r="G217" s="1"/>
      <c r="H217" s="6"/>
    </row>
    <row r="218" spans="6:8" s="3" customFormat="1" x14ac:dyDescent="0.25">
      <c r="F218" s="6"/>
      <c r="G218" s="1"/>
      <c r="H218" s="6"/>
    </row>
    <row r="219" spans="6:8" s="3" customFormat="1" x14ac:dyDescent="0.25">
      <c r="F219" s="6"/>
      <c r="G219" s="1"/>
      <c r="H219" s="6"/>
    </row>
    <row r="220" spans="6:8" s="3" customFormat="1" x14ac:dyDescent="0.25">
      <c r="F220" s="6"/>
      <c r="G220" s="1"/>
      <c r="H220" s="6"/>
    </row>
    <row r="221" spans="6:8" s="3" customFormat="1" x14ac:dyDescent="0.25">
      <c r="F221" s="6"/>
      <c r="G221" s="1"/>
      <c r="H221" s="6"/>
    </row>
    <row r="222" spans="6:8" s="3" customFormat="1" x14ac:dyDescent="0.25">
      <c r="F222" s="6"/>
      <c r="G222" s="1"/>
      <c r="H222" s="6"/>
    </row>
    <row r="223" spans="6:8" s="3" customFormat="1" x14ac:dyDescent="0.25">
      <c r="F223" s="6"/>
      <c r="G223" s="1"/>
      <c r="H223" s="6"/>
    </row>
    <row r="224" spans="6:8" s="3" customFormat="1" x14ac:dyDescent="0.25">
      <c r="F224" s="6"/>
      <c r="G224" s="1"/>
      <c r="H224" s="6"/>
    </row>
    <row r="225" spans="6:8" s="3" customFormat="1" x14ac:dyDescent="0.25">
      <c r="F225" s="6"/>
      <c r="G225" s="1"/>
      <c r="H225" s="6"/>
    </row>
    <row r="226" spans="6:8" s="3" customFormat="1" x14ac:dyDescent="0.25">
      <c r="F226" s="6"/>
      <c r="G226" s="1"/>
      <c r="H226" s="6"/>
    </row>
    <row r="227" spans="6:8" s="3" customFormat="1" x14ac:dyDescent="0.25">
      <c r="F227" s="6"/>
      <c r="G227" s="1"/>
      <c r="H227" s="6"/>
    </row>
    <row r="228" spans="6:8" s="3" customFormat="1" x14ac:dyDescent="0.25">
      <c r="F228" s="6"/>
      <c r="G228" s="1"/>
      <c r="H228" s="6"/>
    </row>
    <row r="229" spans="6:8" s="3" customFormat="1" x14ac:dyDescent="0.25">
      <c r="F229" s="6"/>
      <c r="G229" s="1"/>
      <c r="H229" s="6"/>
    </row>
    <row r="230" spans="6:8" s="3" customFormat="1" x14ac:dyDescent="0.25">
      <c r="F230" s="6"/>
      <c r="G230" s="1"/>
      <c r="H230" s="6"/>
    </row>
    <row r="231" spans="6:8" s="3" customFormat="1" x14ac:dyDescent="0.25">
      <c r="F231" s="6"/>
      <c r="G231" s="1"/>
      <c r="H231" s="6"/>
    </row>
    <row r="232" spans="6:8" s="3" customFormat="1" x14ac:dyDescent="0.25">
      <c r="F232" s="6"/>
      <c r="G232" s="1"/>
      <c r="H232" s="6"/>
    </row>
    <row r="233" spans="6:8" s="3" customFormat="1" x14ac:dyDescent="0.25">
      <c r="F233" s="6"/>
      <c r="G233" s="1"/>
      <c r="H233" s="6"/>
    </row>
    <row r="234" spans="6:8" s="3" customFormat="1" x14ac:dyDescent="0.25">
      <c r="F234" s="6"/>
      <c r="G234" s="1"/>
      <c r="H234" s="6"/>
    </row>
    <row r="235" spans="6:8" s="3" customFormat="1" x14ac:dyDescent="0.25">
      <c r="F235" s="6"/>
      <c r="G235" s="1"/>
      <c r="H235" s="6"/>
    </row>
    <row r="236" spans="6:8" s="3" customFormat="1" x14ac:dyDescent="0.25">
      <c r="F236" s="6"/>
      <c r="G236" s="1"/>
      <c r="H236" s="6"/>
    </row>
    <row r="237" spans="6:8" s="3" customFormat="1" x14ac:dyDescent="0.25">
      <c r="F237" s="6"/>
      <c r="G237" s="1"/>
      <c r="H237" s="6"/>
    </row>
    <row r="238" spans="6:8" s="3" customFormat="1" x14ac:dyDescent="0.25">
      <c r="F238" s="6"/>
      <c r="G238" s="1"/>
      <c r="H238" s="6"/>
    </row>
    <row r="239" spans="6:8" s="3" customFormat="1" x14ac:dyDescent="0.25">
      <c r="F239" s="6"/>
      <c r="G239" s="1"/>
      <c r="H239" s="6"/>
    </row>
    <row r="240" spans="6:8" s="3" customFormat="1" x14ac:dyDescent="0.25">
      <c r="F240" s="6"/>
      <c r="G240" s="1"/>
      <c r="H240" s="6"/>
    </row>
    <row r="241" spans="6:8" s="3" customFormat="1" x14ac:dyDescent="0.25">
      <c r="F241" s="6"/>
      <c r="G241" s="1"/>
      <c r="H241" s="6"/>
    </row>
    <row r="242" spans="6:8" s="3" customFormat="1" x14ac:dyDescent="0.25">
      <c r="F242" s="6"/>
      <c r="G242" s="1"/>
      <c r="H242" s="6"/>
    </row>
    <row r="243" spans="6:8" s="3" customFormat="1" x14ac:dyDescent="0.25">
      <c r="F243" s="6"/>
      <c r="G243" s="1"/>
      <c r="H243" s="6"/>
    </row>
    <row r="244" spans="6:8" s="3" customFormat="1" x14ac:dyDescent="0.25">
      <c r="F244" s="6"/>
      <c r="G244" s="1"/>
      <c r="H244" s="6"/>
    </row>
    <row r="245" spans="6:8" s="3" customFormat="1" x14ac:dyDescent="0.25">
      <c r="F245" s="6"/>
      <c r="G245" s="1"/>
      <c r="H245" s="6"/>
    </row>
    <row r="246" spans="6:8" s="3" customFormat="1" x14ac:dyDescent="0.25">
      <c r="F246" s="6"/>
      <c r="G246" s="1"/>
      <c r="H246" s="6"/>
    </row>
    <row r="247" spans="6:8" s="3" customFormat="1" x14ac:dyDescent="0.25">
      <c r="F247" s="6"/>
      <c r="G247" s="1"/>
      <c r="H247" s="6"/>
    </row>
    <row r="248" spans="6:8" s="3" customFormat="1" x14ac:dyDescent="0.25">
      <c r="F248" s="6"/>
      <c r="G248" s="1"/>
      <c r="H248" s="6"/>
    </row>
    <row r="249" spans="6:8" s="3" customFormat="1" x14ac:dyDescent="0.25">
      <c r="F249" s="6"/>
      <c r="G249" s="1"/>
      <c r="H249" s="6"/>
    </row>
    <row r="250" spans="6:8" s="3" customFormat="1" x14ac:dyDescent="0.25">
      <c r="F250" s="6"/>
      <c r="G250" s="1"/>
      <c r="H250" s="6"/>
    </row>
    <row r="251" spans="6:8" s="3" customFormat="1" x14ac:dyDescent="0.25">
      <c r="F251" s="6"/>
      <c r="G251" s="1"/>
      <c r="H251" s="6"/>
    </row>
    <row r="252" spans="6:8" s="3" customFormat="1" x14ac:dyDescent="0.25">
      <c r="F252" s="6"/>
      <c r="G252" s="1"/>
      <c r="H252" s="6"/>
    </row>
    <row r="253" spans="6:8" s="3" customFormat="1" x14ac:dyDescent="0.25">
      <c r="F253" s="6"/>
      <c r="G253" s="1"/>
      <c r="H253" s="6"/>
    </row>
    <row r="254" spans="6:8" s="3" customFormat="1" x14ac:dyDescent="0.25">
      <c r="F254" s="6"/>
      <c r="G254" s="1"/>
      <c r="H254" s="6"/>
    </row>
    <row r="255" spans="6:8" s="3" customFormat="1" x14ac:dyDescent="0.25">
      <c r="F255" s="6"/>
      <c r="G255" s="1"/>
      <c r="H255" s="6"/>
    </row>
    <row r="256" spans="6:8" s="3" customFormat="1" x14ac:dyDescent="0.25">
      <c r="F256" s="6"/>
      <c r="G256" s="1"/>
      <c r="H256" s="6"/>
    </row>
    <row r="257" spans="6:8" s="3" customFormat="1" x14ac:dyDescent="0.25">
      <c r="F257" s="6"/>
      <c r="G257" s="1"/>
      <c r="H257" s="6"/>
    </row>
    <row r="258" spans="6:8" s="3" customFormat="1" x14ac:dyDescent="0.25">
      <c r="F258" s="6"/>
      <c r="G258" s="1"/>
      <c r="H258" s="6"/>
    </row>
    <row r="259" spans="6:8" s="3" customFormat="1" x14ac:dyDescent="0.25">
      <c r="F259" s="6"/>
      <c r="G259" s="1"/>
      <c r="H259" s="6"/>
    </row>
    <row r="260" spans="6:8" s="3" customFormat="1" x14ac:dyDescent="0.25">
      <c r="F260" s="6"/>
      <c r="G260" s="1"/>
      <c r="H260" s="6"/>
    </row>
    <row r="261" spans="6:8" s="3" customFormat="1" x14ac:dyDescent="0.25">
      <c r="F261" s="6"/>
      <c r="G261" s="1"/>
      <c r="H261" s="6"/>
    </row>
    <row r="262" spans="6:8" s="3" customFormat="1" x14ac:dyDescent="0.25">
      <c r="F262" s="6"/>
      <c r="G262" s="1"/>
      <c r="H262" s="6"/>
    </row>
    <row r="263" spans="6:8" s="3" customFormat="1" x14ac:dyDescent="0.25">
      <c r="F263" s="6"/>
      <c r="G263" s="1"/>
      <c r="H263" s="6"/>
    </row>
    <row r="264" spans="6:8" s="3" customFormat="1" x14ac:dyDescent="0.25">
      <c r="F264" s="6"/>
      <c r="G264" s="1"/>
      <c r="H264" s="6"/>
    </row>
    <row r="265" spans="6:8" s="3" customFormat="1" x14ac:dyDescent="0.25">
      <c r="F265" s="6"/>
      <c r="G265" s="1"/>
      <c r="H265" s="6"/>
    </row>
    <row r="266" spans="6:8" s="3" customFormat="1" x14ac:dyDescent="0.25">
      <c r="F266" s="6"/>
      <c r="G266" s="1"/>
      <c r="H266" s="6"/>
    </row>
    <row r="267" spans="6:8" s="3" customFormat="1" x14ac:dyDescent="0.25">
      <c r="F267" s="6"/>
      <c r="G267" s="1"/>
      <c r="H267" s="6"/>
    </row>
    <row r="268" spans="6:8" s="3" customFormat="1" x14ac:dyDescent="0.25">
      <c r="F268" s="6"/>
      <c r="G268" s="1"/>
      <c r="H268" s="6"/>
    </row>
    <row r="269" spans="6:8" s="3" customFormat="1" x14ac:dyDescent="0.25">
      <c r="F269" s="6"/>
      <c r="G269" s="1"/>
      <c r="H269" s="6"/>
    </row>
    <row r="270" spans="6:8" s="3" customFormat="1" x14ac:dyDescent="0.25">
      <c r="F270" s="6"/>
      <c r="G270" s="1"/>
      <c r="H270" s="6"/>
    </row>
    <row r="271" spans="6:8" s="3" customFormat="1" x14ac:dyDescent="0.25">
      <c r="F271" s="6"/>
      <c r="G271" s="1"/>
      <c r="H271" s="6"/>
    </row>
    <row r="272" spans="6:8" s="3" customFormat="1" x14ac:dyDescent="0.25">
      <c r="F272" s="6"/>
      <c r="G272" s="1"/>
      <c r="H272" s="6"/>
    </row>
    <row r="273" spans="6:8" s="3" customFormat="1" x14ac:dyDescent="0.25">
      <c r="F273" s="6"/>
      <c r="G273" s="1"/>
      <c r="H273" s="6"/>
    </row>
    <row r="274" spans="6:8" s="3" customFormat="1" x14ac:dyDescent="0.25">
      <c r="F274" s="6"/>
      <c r="G274" s="1"/>
      <c r="H274" s="6"/>
    </row>
    <row r="275" spans="6:8" s="3" customFormat="1" x14ac:dyDescent="0.25">
      <c r="F275" s="6"/>
      <c r="G275" s="1"/>
      <c r="H275" s="6"/>
    </row>
    <row r="276" spans="6:8" s="3" customFormat="1" x14ac:dyDescent="0.25">
      <c r="F276" s="6"/>
      <c r="G276" s="1"/>
      <c r="H276" s="6"/>
    </row>
    <row r="277" spans="6:8" s="3" customFormat="1" x14ac:dyDescent="0.25">
      <c r="F277" s="6"/>
      <c r="G277" s="1"/>
      <c r="H277" s="6"/>
    </row>
    <row r="278" spans="6:8" s="3" customFormat="1" x14ac:dyDescent="0.25">
      <c r="F278" s="6"/>
      <c r="G278" s="1"/>
      <c r="H278" s="6"/>
    </row>
    <row r="279" spans="6:8" s="3" customFormat="1" x14ac:dyDescent="0.25">
      <c r="F279" s="6"/>
      <c r="G279" s="1"/>
      <c r="H279" s="6"/>
    </row>
    <row r="280" spans="6:8" s="3" customFormat="1" x14ac:dyDescent="0.25">
      <c r="F280" s="6"/>
      <c r="G280" s="1"/>
      <c r="H280" s="6"/>
    </row>
    <row r="281" spans="6:8" s="3" customFormat="1" x14ac:dyDescent="0.25">
      <c r="F281" s="6"/>
      <c r="G281" s="1"/>
      <c r="H281" s="6"/>
    </row>
    <row r="282" spans="6:8" s="3" customFormat="1" x14ac:dyDescent="0.25">
      <c r="F282" s="6"/>
      <c r="G282" s="1"/>
      <c r="H282" s="6"/>
    </row>
    <row r="283" spans="6:8" s="3" customFormat="1" x14ac:dyDescent="0.25">
      <c r="F283" s="6"/>
      <c r="G283" s="1"/>
      <c r="H283" s="6"/>
    </row>
    <row r="284" spans="6:8" s="3" customFormat="1" x14ac:dyDescent="0.25">
      <c r="F284" s="6"/>
      <c r="G284" s="1"/>
      <c r="H284" s="6"/>
    </row>
    <row r="285" spans="6:8" s="3" customFormat="1" x14ac:dyDescent="0.25">
      <c r="F285" s="6"/>
      <c r="G285" s="1"/>
      <c r="H285" s="6"/>
    </row>
    <row r="286" spans="6:8" s="3" customFormat="1" x14ac:dyDescent="0.25">
      <c r="F286" s="6"/>
      <c r="G286" s="1"/>
      <c r="H286" s="6"/>
    </row>
    <row r="287" spans="6:8" s="3" customFormat="1" x14ac:dyDescent="0.25">
      <c r="F287" s="6"/>
      <c r="G287" s="1"/>
      <c r="H287" s="6"/>
    </row>
    <row r="288" spans="6:8" s="3" customFormat="1" x14ac:dyDescent="0.25">
      <c r="F288" s="6"/>
      <c r="G288" s="1"/>
      <c r="H288" s="6"/>
    </row>
    <row r="289" spans="6:8" s="3" customFormat="1" x14ac:dyDescent="0.25">
      <c r="F289" s="6"/>
      <c r="G289" s="1"/>
      <c r="H289" s="6"/>
    </row>
    <row r="290" spans="6:8" s="3" customFormat="1" x14ac:dyDescent="0.25">
      <c r="F290" s="6"/>
      <c r="G290" s="1"/>
      <c r="H290" s="6"/>
    </row>
    <row r="291" spans="6:8" s="3" customFormat="1" x14ac:dyDescent="0.25">
      <c r="F291" s="6"/>
      <c r="G291" s="1"/>
      <c r="H291" s="6"/>
    </row>
    <row r="292" spans="6:8" s="3" customFormat="1" x14ac:dyDescent="0.25">
      <c r="F292" s="6"/>
      <c r="G292" s="1"/>
      <c r="H292" s="6"/>
    </row>
    <row r="293" spans="6:8" s="3" customFormat="1" x14ac:dyDescent="0.25">
      <c r="F293" s="6"/>
      <c r="G293" s="1"/>
      <c r="H293" s="6"/>
    </row>
    <row r="294" spans="6:8" s="3" customFormat="1" x14ac:dyDescent="0.25">
      <c r="F294" s="6"/>
      <c r="G294" s="1"/>
      <c r="H294" s="6"/>
    </row>
    <row r="295" spans="6:8" s="3" customFormat="1" x14ac:dyDescent="0.25">
      <c r="F295" s="6"/>
      <c r="G295" s="1"/>
      <c r="H295" s="6"/>
    </row>
    <row r="296" spans="6:8" s="3" customFormat="1" x14ac:dyDescent="0.25">
      <c r="F296" s="6"/>
      <c r="G296" s="1"/>
      <c r="H296" s="6"/>
    </row>
    <row r="297" spans="6:8" s="3" customFormat="1" x14ac:dyDescent="0.25">
      <c r="F297" s="6"/>
      <c r="G297" s="1"/>
      <c r="H297" s="6"/>
    </row>
    <row r="298" spans="6:8" s="3" customFormat="1" x14ac:dyDescent="0.25">
      <c r="F298" s="6"/>
      <c r="G298" s="1"/>
      <c r="H298" s="6"/>
    </row>
    <row r="299" spans="6:8" s="3" customFormat="1" x14ac:dyDescent="0.25">
      <c r="F299" s="6"/>
      <c r="G299" s="1"/>
      <c r="H299" s="6"/>
    </row>
    <row r="300" spans="6:8" s="3" customFormat="1" x14ac:dyDescent="0.25">
      <c r="F300" s="6"/>
      <c r="G300" s="1"/>
      <c r="H300" s="6"/>
    </row>
    <row r="301" spans="6:8" s="3" customFormat="1" x14ac:dyDescent="0.25">
      <c r="F301" s="6"/>
      <c r="G301" s="1"/>
      <c r="H301" s="6"/>
    </row>
    <row r="302" spans="6:8" s="3" customFormat="1" x14ac:dyDescent="0.25">
      <c r="F302" s="6"/>
      <c r="G302" s="1"/>
      <c r="H302" s="6"/>
    </row>
    <row r="303" spans="6:8" s="3" customFormat="1" x14ac:dyDescent="0.25">
      <c r="F303" s="6"/>
      <c r="G303" s="1"/>
      <c r="H303" s="6"/>
    </row>
    <row r="304" spans="6:8" s="3" customFormat="1" x14ac:dyDescent="0.25">
      <c r="F304" s="6"/>
      <c r="G304" s="1"/>
      <c r="H304" s="6"/>
    </row>
    <row r="305" spans="6:8" s="3" customFormat="1" x14ac:dyDescent="0.25">
      <c r="F305" s="6"/>
      <c r="G305" s="1"/>
      <c r="H305" s="6"/>
    </row>
    <row r="306" spans="6:8" s="3" customFormat="1" x14ac:dyDescent="0.25">
      <c r="F306" s="6"/>
      <c r="G306" s="1"/>
      <c r="H306" s="6"/>
    </row>
    <row r="307" spans="6:8" s="3" customFormat="1" x14ac:dyDescent="0.25">
      <c r="F307" s="6"/>
      <c r="G307" s="1"/>
      <c r="H307" s="6"/>
    </row>
    <row r="308" spans="6:8" s="3" customFormat="1" x14ac:dyDescent="0.25">
      <c r="F308" s="6"/>
      <c r="G308" s="1"/>
      <c r="H308" s="6"/>
    </row>
    <row r="309" spans="6:8" s="3" customFormat="1" x14ac:dyDescent="0.25">
      <c r="F309" s="6"/>
      <c r="G309" s="1"/>
      <c r="H309" s="6"/>
    </row>
    <row r="310" spans="6:8" s="3" customFormat="1" x14ac:dyDescent="0.25">
      <c r="F310" s="6"/>
      <c r="G310" s="1"/>
      <c r="H310" s="6"/>
    </row>
    <row r="311" spans="6:8" s="3" customFormat="1" x14ac:dyDescent="0.25">
      <c r="F311" s="6"/>
      <c r="G311" s="1"/>
      <c r="H311" s="6"/>
    </row>
    <row r="312" spans="6:8" s="3" customFormat="1" x14ac:dyDescent="0.25">
      <c r="F312" s="6"/>
      <c r="G312" s="1"/>
      <c r="H312" s="6"/>
    </row>
    <row r="313" spans="6:8" s="3" customFormat="1" x14ac:dyDescent="0.25">
      <c r="F313" s="6"/>
      <c r="G313" s="1"/>
      <c r="H313" s="6"/>
    </row>
    <row r="314" spans="6:8" s="3" customFormat="1" x14ac:dyDescent="0.25">
      <c r="F314" s="6"/>
      <c r="G314" s="1"/>
      <c r="H314" s="6"/>
    </row>
    <row r="315" spans="6:8" s="3" customFormat="1" x14ac:dyDescent="0.25">
      <c r="F315" s="6"/>
      <c r="G315" s="1"/>
      <c r="H315" s="6"/>
    </row>
    <row r="316" spans="6:8" s="3" customFormat="1" x14ac:dyDescent="0.25">
      <c r="F316" s="6"/>
      <c r="G316" s="1"/>
      <c r="H316" s="6"/>
    </row>
    <row r="317" spans="6:8" s="3" customFormat="1" x14ac:dyDescent="0.25">
      <c r="F317" s="6"/>
      <c r="G317" s="1"/>
      <c r="H317" s="6"/>
    </row>
    <row r="318" spans="6:8" s="3" customFormat="1" x14ac:dyDescent="0.25">
      <c r="F318" s="6"/>
      <c r="G318" s="1"/>
      <c r="H318" s="6"/>
    </row>
    <row r="319" spans="6:8" s="3" customFormat="1" x14ac:dyDescent="0.25">
      <c r="F319" s="6"/>
      <c r="G319" s="1"/>
      <c r="H319" s="6"/>
    </row>
    <row r="320" spans="6:8" s="3" customFormat="1" x14ac:dyDescent="0.25">
      <c r="F320" s="6"/>
      <c r="G320" s="1"/>
      <c r="H320" s="6"/>
    </row>
    <row r="321" spans="6:8" s="3" customFormat="1" x14ac:dyDescent="0.25">
      <c r="F321" s="6"/>
      <c r="G321" s="1"/>
      <c r="H321" s="6"/>
    </row>
    <row r="322" spans="6:8" s="3" customFormat="1" x14ac:dyDescent="0.25">
      <c r="F322" s="6"/>
      <c r="G322" s="1"/>
      <c r="H322" s="6"/>
    </row>
    <row r="323" spans="6:8" s="3" customFormat="1" x14ac:dyDescent="0.25">
      <c r="F323" s="6"/>
      <c r="G323" s="1"/>
      <c r="H323" s="6"/>
    </row>
    <row r="324" spans="6:8" s="3" customFormat="1" x14ac:dyDescent="0.25">
      <c r="F324" s="6"/>
      <c r="G324" s="1"/>
      <c r="H324" s="6"/>
    </row>
    <row r="325" spans="6:8" s="3" customFormat="1" x14ac:dyDescent="0.25">
      <c r="F325" s="6"/>
      <c r="G325" s="1"/>
      <c r="H325" s="6"/>
    </row>
    <row r="326" spans="6:8" s="3" customFormat="1" x14ac:dyDescent="0.25">
      <c r="F326" s="6"/>
      <c r="G326" s="1"/>
      <c r="H326" s="6"/>
    </row>
    <row r="327" spans="6:8" s="3" customFormat="1" x14ac:dyDescent="0.25">
      <c r="F327" s="6"/>
      <c r="G327" s="1"/>
      <c r="H327" s="6"/>
    </row>
    <row r="328" spans="6:8" s="3" customFormat="1" x14ac:dyDescent="0.25">
      <c r="F328" s="6"/>
      <c r="G328" s="1"/>
      <c r="H328" s="6"/>
    </row>
    <row r="329" spans="6:8" s="3" customFormat="1" x14ac:dyDescent="0.25">
      <c r="F329" s="6"/>
      <c r="G329" s="1"/>
      <c r="H329" s="6"/>
    </row>
    <row r="330" spans="6:8" s="3" customFormat="1" x14ac:dyDescent="0.25">
      <c r="F330" s="6"/>
      <c r="G330" s="1"/>
      <c r="H330" s="6"/>
    </row>
    <row r="331" spans="6:8" s="3" customFormat="1" x14ac:dyDescent="0.25">
      <c r="F331" s="6"/>
      <c r="G331" s="1"/>
      <c r="H331" s="6"/>
    </row>
    <row r="332" spans="6:8" s="3" customFormat="1" x14ac:dyDescent="0.25">
      <c r="F332" s="6"/>
      <c r="G332" s="1"/>
      <c r="H332" s="6"/>
    </row>
    <row r="333" spans="6:8" s="3" customFormat="1" x14ac:dyDescent="0.25">
      <c r="F333" s="6"/>
      <c r="G333" s="1"/>
      <c r="H333" s="6"/>
    </row>
    <row r="334" spans="6:8" s="3" customFormat="1" x14ac:dyDescent="0.25">
      <c r="F334" s="6"/>
      <c r="G334" s="1"/>
      <c r="H334" s="6"/>
    </row>
    <row r="335" spans="6:8" s="3" customFormat="1" x14ac:dyDescent="0.25">
      <c r="F335" s="6"/>
      <c r="G335" s="1"/>
      <c r="H335" s="6"/>
    </row>
    <row r="336" spans="6:8" s="3" customFormat="1" x14ac:dyDescent="0.25">
      <c r="F336" s="6"/>
      <c r="G336" s="1"/>
      <c r="H336" s="6"/>
    </row>
    <row r="337" spans="6:8" s="3" customFormat="1" x14ac:dyDescent="0.25">
      <c r="F337" s="6"/>
      <c r="G337" s="1"/>
      <c r="H337" s="6"/>
    </row>
    <row r="338" spans="6:8" s="3" customFormat="1" x14ac:dyDescent="0.25">
      <c r="F338" s="6"/>
      <c r="G338" s="1"/>
      <c r="H338" s="6"/>
    </row>
    <row r="339" spans="6:8" s="3" customFormat="1" x14ac:dyDescent="0.25">
      <c r="F339" s="6"/>
      <c r="G339" s="1"/>
      <c r="H339" s="6"/>
    </row>
    <row r="340" spans="6:8" s="3" customFormat="1" x14ac:dyDescent="0.25">
      <c r="F340" s="6"/>
      <c r="G340" s="1"/>
      <c r="H340" s="6"/>
    </row>
    <row r="341" spans="6:8" s="3" customFormat="1" x14ac:dyDescent="0.25">
      <c r="F341" s="6"/>
      <c r="G341" s="1"/>
      <c r="H341" s="6"/>
    </row>
  </sheetData>
  <mergeCells count="144">
    <mergeCell ref="A32:AB32"/>
    <mergeCell ref="P45:R47"/>
    <mergeCell ref="M45:O47"/>
    <mergeCell ref="P50:R52"/>
    <mergeCell ref="M50:O52"/>
    <mergeCell ref="K50:L52"/>
    <mergeCell ref="I50:J52"/>
    <mergeCell ref="P48:R49"/>
    <mergeCell ref="M48:O49"/>
    <mergeCell ref="K48:L49"/>
    <mergeCell ref="I48:J49"/>
    <mergeCell ref="W50:X52"/>
    <mergeCell ref="U50:V52"/>
    <mergeCell ref="S50:T52"/>
    <mergeCell ref="AA50:AB52"/>
    <mergeCell ref="Y50:Z52"/>
    <mergeCell ref="I5:AC5"/>
    <mergeCell ref="W8:X9"/>
    <mergeCell ref="Y48:Z49"/>
    <mergeCell ref="W38:X40"/>
    <mergeCell ref="Y38:Z40"/>
    <mergeCell ref="AA38:AB40"/>
    <mergeCell ref="I41:J42"/>
    <mergeCell ref="K41:L42"/>
    <mergeCell ref="M41:O42"/>
    <mergeCell ref="P41:R42"/>
    <mergeCell ref="S41:T42"/>
    <mergeCell ref="U41:V42"/>
    <mergeCell ref="W41:X42"/>
    <mergeCell ref="I38:J40"/>
    <mergeCell ref="K38:L40"/>
    <mergeCell ref="M38:O40"/>
    <mergeCell ref="P38:R40"/>
    <mergeCell ref="S38:T40"/>
    <mergeCell ref="W35:X36"/>
    <mergeCell ref="I36:J37"/>
    <mergeCell ref="K36:L37"/>
    <mergeCell ref="M36:O37"/>
    <mergeCell ref="P36:R37"/>
    <mergeCell ref="Y36:Z37"/>
    <mergeCell ref="AA53:AB54"/>
    <mergeCell ref="Y53:Z54"/>
    <mergeCell ref="U38:V40"/>
    <mergeCell ref="AA41:AB42"/>
    <mergeCell ref="I45:J47"/>
    <mergeCell ref="K45:L47"/>
    <mergeCell ref="AA45:AB49"/>
    <mergeCell ref="Y45:Z47"/>
    <mergeCell ref="W47:X48"/>
    <mergeCell ref="W45:X46"/>
    <mergeCell ref="P53:R54"/>
    <mergeCell ref="M53:O54"/>
    <mergeCell ref="K53:L54"/>
    <mergeCell ref="I53:J54"/>
    <mergeCell ref="A44:AB44"/>
    <mergeCell ref="Y41:Z42"/>
    <mergeCell ref="W53:X54"/>
    <mergeCell ref="U53:V54"/>
    <mergeCell ref="S53:T54"/>
    <mergeCell ref="AA21:AB25"/>
    <mergeCell ref="W21:X22"/>
    <mergeCell ref="W23:X24"/>
    <mergeCell ref="I33:J35"/>
    <mergeCell ref="K33:L35"/>
    <mergeCell ref="M33:O35"/>
    <mergeCell ref="P33:R35"/>
    <mergeCell ref="W33:X34"/>
    <mergeCell ref="Y33:Z35"/>
    <mergeCell ref="AA33:AB37"/>
    <mergeCell ref="AA26:AB28"/>
    <mergeCell ref="I29:J30"/>
    <mergeCell ref="K29:L30"/>
    <mergeCell ref="M29:O30"/>
    <mergeCell ref="P29:R30"/>
    <mergeCell ref="S29:T30"/>
    <mergeCell ref="U29:V30"/>
    <mergeCell ref="W29:X30"/>
    <mergeCell ref="Y29:Z30"/>
    <mergeCell ref="AA29:AB30"/>
    <mergeCell ref="Y24:Z25"/>
    <mergeCell ref="I26:J28"/>
    <mergeCell ref="K26:L28"/>
    <mergeCell ref="M26:O28"/>
    <mergeCell ref="P26:R28"/>
    <mergeCell ref="S26:T28"/>
    <mergeCell ref="U26:V28"/>
    <mergeCell ref="W26:X28"/>
    <mergeCell ref="Y26:Z28"/>
    <mergeCell ref="A20:AB20"/>
    <mergeCell ref="A7:AB7"/>
    <mergeCell ref="I8:J10"/>
    <mergeCell ref="K8:L10"/>
    <mergeCell ref="M8:O10"/>
    <mergeCell ref="AA16:AB18"/>
    <mergeCell ref="AA13:AB15"/>
    <mergeCell ref="Y11:Z12"/>
    <mergeCell ref="W10:X11"/>
    <mergeCell ref="P8:R10"/>
    <mergeCell ref="U13:V15"/>
    <mergeCell ref="Y8:Z10"/>
    <mergeCell ref="Y13:Z15"/>
    <mergeCell ref="W13:X15"/>
    <mergeCell ref="AA8:AB12"/>
    <mergeCell ref="S13:T15"/>
    <mergeCell ref="Y16:Z18"/>
    <mergeCell ref="W16:X18"/>
    <mergeCell ref="U16:V18"/>
    <mergeCell ref="P16:R18"/>
    <mergeCell ref="M16:O18"/>
    <mergeCell ref="P11:R12"/>
    <mergeCell ref="S16:T18"/>
    <mergeCell ref="P13:R15"/>
    <mergeCell ref="Y21:Z23"/>
    <mergeCell ref="I24:J25"/>
    <mergeCell ref="K24:L25"/>
    <mergeCell ref="M24:O25"/>
    <mergeCell ref="P24:R25"/>
    <mergeCell ref="I21:J23"/>
    <mergeCell ref="K21:L23"/>
    <mergeCell ref="M21:O23"/>
    <mergeCell ref="P21:R23"/>
    <mergeCell ref="K11:L12"/>
    <mergeCell ref="M11:O12"/>
    <mergeCell ref="K16:L18"/>
    <mergeCell ref="M13:O15"/>
    <mergeCell ref="I11:J12"/>
    <mergeCell ref="I13:J15"/>
    <mergeCell ref="I16:J18"/>
    <mergeCell ref="K13:L15"/>
    <mergeCell ref="I4:O4"/>
    <mergeCell ref="P4:AB4"/>
    <mergeCell ref="Q2:R2"/>
    <mergeCell ref="B3:C3"/>
    <mergeCell ref="I2:J2"/>
    <mergeCell ref="Q1:R1"/>
    <mergeCell ref="B2:C2"/>
    <mergeCell ref="I1:J1"/>
    <mergeCell ref="K1:L1"/>
    <mergeCell ref="K2:L2"/>
    <mergeCell ref="M1:P1"/>
    <mergeCell ref="M2:P2"/>
    <mergeCell ref="D2:F2"/>
    <mergeCell ref="D3:F3"/>
    <mergeCell ref="B1:F1"/>
  </mergeCells>
  <phoneticPr fontId="7" type="noConversion"/>
  <conditionalFormatting sqref="I8 M8 M11 K16:K17 M16:M17 I31:N31 I43:N43">
    <cfRule type="expression" dxfId="20" priority="94">
      <formula>#REF!+$L8&gt;1</formula>
    </cfRule>
  </conditionalFormatting>
  <conditionalFormatting sqref="I13">
    <cfRule type="expression" dxfId="19" priority="63">
      <formula>#REF!+$L13&gt;1</formula>
    </cfRule>
  </conditionalFormatting>
  <conditionalFormatting sqref="I21 M21 M24 K29 M29">
    <cfRule type="expression" dxfId="18" priority="53">
      <formula>#REF!+$L21&gt;1</formula>
    </cfRule>
  </conditionalFormatting>
  <conditionalFormatting sqref="I26 I33 K33 M33 M36 I38 K38 M38 P38 K41 M41 I45 K45 M45 M48 I50 K50 M50 P50 K53 M53">
    <cfRule type="expression" dxfId="17" priority="49">
      <formula>#REF!+$L26&gt;1</formula>
    </cfRule>
  </conditionalFormatting>
  <conditionalFormatting sqref="K8">
    <cfRule type="expression" dxfId="16" priority="62">
      <formula>#REF!+$L8&gt;1</formula>
    </cfRule>
  </conditionalFormatting>
  <conditionalFormatting sqref="K13">
    <cfRule type="expression" dxfId="15" priority="68">
      <formula>#REF!+$L13&gt;1</formula>
    </cfRule>
  </conditionalFormatting>
  <conditionalFormatting sqref="K21">
    <cfRule type="expression" dxfId="14" priority="48">
      <formula>#REF!+$L21&gt;1</formula>
    </cfRule>
  </conditionalFormatting>
  <conditionalFormatting sqref="K26">
    <cfRule type="expression" dxfId="13" priority="52">
      <formula>#REF!+$L26&gt;1</formula>
    </cfRule>
  </conditionalFormatting>
  <conditionalFormatting sqref="M13">
    <cfRule type="expression" dxfId="12" priority="65">
      <formula>#REF!+$L13&gt;1</formula>
    </cfRule>
  </conditionalFormatting>
  <conditionalFormatting sqref="M26">
    <cfRule type="expression" dxfId="11" priority="50">
      <formula>#REF!+$L26&gt;1</formula>
    </cfRule>
  </conditionalFormatting>
  <conditionalFormatting sqref="P8 P11 U11 Y11 P16:P17 U16:U17 W16:W17 Y16:Y17 P31:AB31 P33 P36 Y36 P41 U41 W41 Y41 AA41 P43:AB43 P45 P48 Y48 P53 U53 W53 Y53 AA53">
    <cfRule type="expression" dxfId="10" priority="100">
      <formula>#REF!+$L8+$Q8&gt;1</formula>
    </cfRule>
  </conditionalFormatting>
  <conditionalFormatting sqref="P13">
    <cfRule type="expression" dxfId="9" priority="67">
      <formula>#REF!+$L13&gt;1</formula>
    </cfRule>
  </conditionalFormatting>
  <conditionalFormatting sqref="P21 P24 Y24 P29 U29 W29 Y29 AA29">
    <cfRule type="expression" dxfId="8" priority="54">
      <formula>#REF!+$L21+$Q21&gt;1</formula>
    </cfRule>
  </conditionalFormatting>
  <conditionalFormatting sqref="P26">
    <cfRule type="expression" dxfId="7" priority="51">
      <formula>#REF!+$L26&gt;1</formula>
    </cfRule>
  </conditionalFormatting>
  <conditionalFormatting sqref="AA16:AA17">
    <cfRule type="expression" dxfId="6" priority="27">
      <formula>#REF!+$L16+$Q16&gt;1</formula>
    </cfRule>
  </conditionalFormatting>
  <conditionalFormatting sqref="AA8:AB12">
    <cfRule type="containsText" dxfId="5" priority="26" operator="containsText" text="Überzahlung">
      <formula>NOT(ISERROR(SEARCH("Überzahlung",AA8)))</formula>
    </cfRule>
  </conditionalFormatting>
  <conditionalFormatting sqref="AA21:AB25">
    <cfRule type="containsText" dxfId="4" priority="38" operator="containsText" text="Überzahlung">
      <formula>NOT(ISERROR(SEARCH("Überzahlung",AA21)))</formula>
    </cfRule>
  </conditionalFormatting>
  <conditionalFormatting sqref="AA33:AB37">
    <cfRule type="containsText" dxfId="3" priority="37" operator="containsText" text="Überzahlung">
      <formula>NOT(ISERROR(SEARCH("Überzahlung",AA33)))</formula>
    </cfRule>
  </conditionalFormatting>
  <conditionalFormatting sqref="AA45:AB49">
    <cfRule type="containsText" dxfId="2" priority="29" operator="containsText" text="Überzahlung">
      <formula>NOT(ISERROR(SEARCH("Überzahlung",AA45)))</formula>
    </cfRule>
  </conditionalFormatting>
  <pageMargins left="0.7" right="0.7" top="0.75" bottom="0.75" header="0.3" footer="0.3"/>
  <pageSetup paperSize="9" scale="2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273"/>
  <sheetViews>
    <sheetView zoomScale="85" zoomScaleNormal="85" workbookViewId="0">
      <selection activeCell="D30" sqref="D30"/>
    </sheetView>
  </sheetViews>
  <sheetFormatPr baseColWidth="10" defaultColWidth="11.42578125" defaultRowHeight="15" x14ac:dyDescent="0.25"/>
  <cols>
    <col min="1" max="2" width="24.85546875" style="3" customWidth="1"/>
    <col min="3" max="6" width="13.42578125" style="3" customWidth="1"/>
    <col min="7" max="7" width="11.42578125" style="3"/>
    <col min="8" max="8" width="24" style="3" bestFit="1" customWidth="1"/>
    <col min="9" max="9" width="18.7109375" style="3" customWidth="1"/>
    <col min="10" max="10" width="19.85546875" style="3" customWidth="1"/>
    <col min="11" max="11" width="7" style="3" customWidth="1"/>
    <col min="12" max="12" width="11.42578125" style="3"/>
    <col min="13" max="13" width="29.42578125" style="3" customWidth="1"/>
    <col min="14" max="14" width="14.140625" style="3" customWidth="1"/>
    <col min="15" max="15" width="20" style="3" customWidth="1"/>
    <col min="16" max="16" width="9" style="3" customWidth="1"/>
    <col min="17" max="17" width="16.42578125" style="3" customWidth="1"/>
    <col min="18" max="18" width="11.42578125" style="3"/>
    <col min="19" max="19" width="16.7109375" style="3" customWidth="1"/>
    <col min="20" max="20" width="11.140625" style="3" customWidth="1"/>
    <col min="21" max="21" width="17" style="3" customWidth="1"/>
    <col min="22" max="16384" width="11.42578125" style="3"/>
  </cols>
  <sheetData>
    <row r="2" spans="1:22" x14ac:dyDescent="0.25">
      <c r="A2" s="9" t="s">
        <v>8</v>
      </c>
      <c r="B2" s="10" t="s">
        <v>9</v>
      </c>
      <c r="C2" s="11"/>
      <c r="D2" s="11"/>
      <c r="E2" s="11"/>
      <c r="F2" s="11"/>
      <c r="J2" s="3" t="s">
        <v>76</v>
      </c>
    </row>
    <row r="3" spans="1:22" x14ac:dyDescent="0.25">
      <c r="A3" s="5">
        <v>0.3</v>
      </c>
      <c r="B3" s="28">
        <v>0</v>
      </c>
      <c r="C3" s="5"/>
      <c r="D3" s="5"/>
      <c r="E3" s="5"/>
      <c r="F3" s="5"/>
      <c r="H3" s="3" t="s">
        <v>10</v>
      </c>
      <c r="I3" s="4">
        <f>SUM(Provisionsberechnung!H2)</f>
        <v>440000</v>
      </c>
      <c r="J3" s="12">
        <f>SUM(Provisionsberechnung!I2)</f>
        <v>110000</v>
      </c>
    </row>
    <row r="4" spans="1:22" x14ac:dyDescent="0.25">
      <c r="A4" s="5">
        <v>0.31</v>
      </c>
      <c r="B4" s="28">
        <v>0</v>
      </c>
      <c r="C4" s="5"/>
      <c r="D4" s="5"/>
      <c r="E4" s="5"/>
      <c r="F4" s="5"/>
      <c r="H4" s="3" t="s">
        <v>11</v>
      </c>
      <c r="I4" s="4">
        <v>400000</v>
      </c>
      <c r="J4" s="1">
        <v>100000</v>
      </c>
    </row>
    <row r="5" spans="1:22" x14ac:dyDescent="0.25">
      <c r="A5" s="5">
        <v>0.32</v>
      </c>
      <c r="B5" s="28">
        <v>0</v>
      </c>
      <c r="C5" s="5"/>
      <c r="D5" s="5"/>
      <c r="E5" s="5"/>
      <c r="F5" s="5"/>
      <c r="H5" s="3" t="s">
        <v>13</v>
      </c>
      <c r="I5" s="5">
        <f>SUM(I4/I3)</f>
        <v>0.90909090909090906</v>
      </c>
      <c r="J5" s="13"/>
    </row>
    <row r="6" spans="1:22" x14ac:dyDescent="0.25">
      <c r="A6" s="5">
        <v>0.33</v>
      </c>
      <c r="B6" s="28">
        <v>0</v>
      </c>
      <c r="C6" s="5"/>
      <c r="D6" s="5"/>
      <c r="E6" s="5"/>
      <c r="F6" s="5"/>
      <c r="H6" s="3" t="s">
        <v>12</v>
      </c>
      <c r="I6" s="5">
        <f>VLOOKUP(I5,A2:B273,2)</f>
        <v>0.8</v>
      </c>
      <c r="J6" s="1"/>
    </row>
    <row r="7" spans="1:22" x14ac:dyDescent="0.25">
      <c r="A7" s="5">
        <v>0.34</v>
      </c>
      <c r="B7" s="28">
        <v>0</v>
      </c>
      <c r="C7" s="5"/>
      <c r="D7" s="5"/>
      <c r="E7" s="5"/>
      <c r="F7" s="5"/>
      <c r="H7" s="3" t="s">
        <v>19</v>
      </c>
      <c r="I7" s="4">
        <f>SUM(Provisionsberechnung!K2)</f>
        <v>40000</v>
      </c>
      <c r="J7" s="12">
        <f>SUM(Provisionsberechnung!M2)</f>
        <v>10000</v>
      </c>
    </row>
    <row r="8" spans="1:22" ht="15.75" thickBot="1" x14ac:dyDescent="0.3">
      <c r="A8" s="5">
        <v>0.35</v>
      </c>
      <c r="B8" s="28">
        <v>0</v>
      </c>
      <c r="C8" s="5"/>
      <c r="D8" s="5"/>
      <c r="E8" s="5"/>
      <c r="F8" s="5"/>
      <c r="I8" s="1"/>
      <c r="J8" s="1"/>
      <c r="M8" s="1"/>
      <c r="Q8" s="336" t="s">
        <v>26</v>
      </c>
      <c r="R8" s="336"/>
      <c r="S8" s="336"/>
      <c r="T8" s="336"/>
    </row>
    <row r="9" spans="1:22" ht="28.5" customHeight="1" x14ac:dyDescent="0.25">
      <c r="A9" s="5">
        <v>0.36</v>
      </c>
      <c r="B9" s="28">
        <v>0</v>
      </c>
      <c r="C9" s="31"/>
      <c r="D9" s="32" t="s">
        <v>42</v>
      </c>
      <c r="E9" s="32" t="s">
        <v>44</v>
      </c>
      <c r="F9" s="33" t="s">
        <v>41</v>
      </c>
      <c r="G9" s="34" t="s">
        <v>40</v>
      </c>
      <c r="H9" s="35"/>
      <c r="I9" s="36" t="s">
        <v>10</v>
      </c>
      <c r="J9" s="36" t="s">
        <v>18</v>
      </c>
      <c r="K9" s="35" t="s">
        <v>8</v>
      </c>
      <c r="L9" s="37" t="s">
        <v>13</v>
      </c>
      <c r="M9" s="36" t="s">
        <v>12</v>
      </c>
      <c r="N9" s="14" t="s">
        <v>20</v>
      </c>
      <c r="O9" s="15" t="s">
        <v>22</v>
      </c>
      <c r="P9" s="16" t="s">
        <v>21</v>
      </c>
      <c r="Q9" s="14" t="s">
        <v>24</v>
      </c>
      <c r="R9" s="15" t="s">
        <v>23</v>
      </c>
      <c r="S9" s="15" t="s">
        <v>25</v>
      </c>
      <c r="T9" s="15" t="s">
        <v>27</v>
      </c>
      <c r="U9" s="38" t="s">
        <v>28</v>
      </c>
      <c r="V9" s="17"/>
    </row>
    <row r="10" spans="1:22" x14ac:dyDescent="0.25">
      <c r="A10" s="5">
        <v>0.37</v>
      </c>
      <c r="B10" s="28">
        <v>0</v>
      </c>
      <c r="C10" s="39">
        <f>SUM($J$7*D10)</f>
        <v>12800</v>
      </c>
      <c r="D10" s="40">
        <f>VLOOKUP(E10,$A$2:$B$274,2)</f>
        <v>1.28</v>
      </c>
      <c r="E10" s="40">
        <f>ROUND(F10,2)</f>
        <v>1.18</v>
      </c>
      <c r="F10" s="40">
        <f t="shared" ref="F10:F13" si="0">SUM(G10/$J$3)</f>
        <v>1.1813202727272729</v>
      </c>
      <c r="G10" s="41">
        <f>SUM(Provisionsberechnung!I11)</f>
        <v>129945.23000000001</v>
      </c>
      <c r="H10" s="3" t="s">
        <v>14</v>
      </c>
      <c r="I10" s="42">
        <f>SUM(I3/4*1)</f>
        <v>110000</v>
      </c>
      <c r="J10" s="43">
        <f>SUM(Provisionsberechnung!I11)</f>
        <v>129945.23000000001</v>
      </c>
      <c r="K10" s="44">
        <f>SUM(J10/I10)</f>
        <v>1.1813202727272729</v>
      </c>
      <c r="L10" s="45">
        <f t="shared" ref="L10:L13" si="1">ROUND(K10,2)</f>
        <v>1.18</v>
      </c>
      <c r="M10" s="46">
        <f>VLOOKUP(L10,A3:B274,2)</f>
        <v>1.28</v>
      </c>
      <c r="N10" s="18">
        <f>SUM($I$7/4*1*M10)</f>
        <v>12800</v>
      </c>
      <c r="O10" s="47">
        <f>SUM(N10*80%)</f>
        <v>10240</v>
      </c>
      <c r="P10" s="19">
        <f>SUM(N10*20%)</f>
        <v>2560</v>
      </c>
      <c r="Q10" s="20">
        <f>SUM(O10)</f>
        <v>10240</v>
      </c>
      <c r="R10" s="48">
        <v>5000</v>
      </c>
      <c r="S10" s="49">
        <f>SUM(R10)</f>
        <v>5000</v>
      </c>
      <c r="T10" s="43">
        <f>SUM(O10-R10)</f>
        <v>5240</v>
      </c>
      <c r="U10" s="50">
        <f>SUM(P10+T10)</f>
        <v>7800</v>
      </c>
    </row>
    <row r="11" spans="1:22" x14ac:dyDescent="0.25">
      <c r="A11" s="5">
        <v>0.38</v>
      </c>
      <c r="B11" s="28">
        <v>0</v>
      </c>
      <c r="C11" s="39" t="e">
        <f>SUM($J$7*D11)</f>
        <v>#N/A</v>
      </c>
      <c r="D11" s="40" t="e">
        <f>VLOOKUP(E11,$A$2:$B$274,2)</f>
        <v>#N/A</v>
      </c>
      <c r="E11" s="40">
        <f t="shared" ref="E11:E13" si="2">ROUND(F11,2)</f>
        <v>0</v>
      </c>
      <c r="F11" s="40">
        <f t="shared" si="0"/>
        <v>0</v>
      </c>
      <c r="G11" s="41">
        <f>SUM(Provisionsberechnung!I24)</f>
        <v>0</v>
      </c>
      <c r="H11" s="3" t="s">
        <v>15</v>
      </c>
      <c r="I11" s="42">
        <f>SUM(I3/4*2)</f>
        <v>220000</v>
      </c>
      <c r="J11" s="43">
        <f>SUM(G10:G11)</f>
        <v>129945.23000000001</v>
      </c>
      <c r="K11" s="44">
        <f t="shared" ref="K11:K13" si="3">SUM(J11/I11)</f>
        <v>0.59066013636363646</v>
      </c>
      <c r="L11" s="45">
        <f t="shared" si="1"/>
        <v>0.59</v>
      </c>
      <c r="M11" s="46">
        <f t="shared" ref="M11:M13" si="4">VLOOKUP(L11,A3:B275,2)</f>
        <v>0.28000000000000003</v>
      </c>
      <c r="N11" s="18">
        <f>SUM($I$7/4*2*M11)</f>
        <v>5600.0000000000009</v>
      </c>
      <c r="O11" s="47">
        <f t="shared" ref="O11:O13" si="5">SUM(N11*80%)</f>
        <v>4480.0000000000009</v>
      </c>
      <c r="P11" s="19">
        <f t="shared" ref="P11:P13" si="6">SUM(N11*20%)</f>
        <v>1120.0000000000002</v>
      </c>
      <c r="Q11" s="20">
        <f>SUM(O11-S10)</f>
        <v>-519.99999999999909</v>
      </c>
      <c r="R11" s="48"/>
      <c r="S11" s="42">
        <f>SUM(S10+R11)</f>
        <v>5000</v>
      </c>
      <c r="T11" s="43">
        <f>SUM(Q11-R11)</f>
        <v>-519.99999999999909</v>
      </c>
      <c r="U11" s="50">
        <f t="shared" ref="U11:U13" si="7">SUM(P11+T11)</f>
        <v>600.00000000000114</v>
      </c>
    </row>
    <row r="12" spans="1:22" x14ac:dyDescent="0.25">
      <c r="A12" s="5">
        <v>0.39</v>
      </c>
      <c r="B12" s="28">
        <v>0</v>
      </c>
      <c r="C12" s="39" t="e">
        <f>SUM($J$7*D12)</f>
        <v>#N/A</v>
      </c>
      <c r="D12" s="40" t="e">
        <f t="shared" ref="D12:D13" si="8">VLOOKUP(E12,$A$2:$B$274,2)</f>
        <v>#N/A</v>
      </c>
      <c r="E12" s="40">
        <f t="shared" si="2"/>
        <v>0</v>
      </c>
      <c r="F12" s="40">
        <f t="shared" si="0"/>
        <v>0</v>
      </c>
      <c r="G12" s="41">
        <f>SUM(Provisionsberechnung!I36)</f>
        <v>0</v>
      </c>
      <c r="H12" s="3" t="s">
        <v>16</v>
      </c>
      <c r="I12" s="42">
        <f>SUM(I3/4*3)</f>
        <v>330000</v>
      </c>
      <c r="J12" s="43">
        <f>SUM(G10:G12)</f>
        <v>129945.23000000001</v>
      </c>
      <c r="K12" s="44">
        <f t="shared" si="3"/>
        <v>0.39377342424242429</v>
      </c>
      <c r="L12" s="45">
        <f t="shared" si="1"/>
        <v>0.39</v>
      </c>
      <c r="M12" s="46">
        <f t="shared" si="4"/>
        <v>0</v>
      </c>
      <c r="N12" s="18">
        <f>SUM($I$7/4*3*M12)</f>
        <v>0</v>
      </c>
      <c r="O12" s="47">
        <f t="shared" si="5"/>
        <v>0</v>
      </c>
      <c r="P12" s="19">
        <f t="shared" si="6"/>
        <v>0</v>
      </c>
      <c r="Q12" s="20">
        <f t="shared" ref="Q12:Q13" si="9">SUM(O12-S11)</f>
        <v>-5000</v>
      </c>
      <c r="R12" s="48">
        <v>0</v>
      </c>
      <c r="S12" s="42">
        <f t="shared" ref="S12:S13" si="10">SUM(S11+R12)</f>
        <v>5000</v>
      </c>
      <c r="T12" s="43">
        <f t="shared" ref="T12:T13" si="11">SUM(Q12-R12)</f>
        <v>-5000</v>
      </c>
      <c r="U12" s="50">
        <f t="shared" si="7"/>
        <v>-5000</v>
      </c>
    </row>
    <row r="13" spans="1:22" ht="15.75" thickBot="1" x14ac:dyDescent="0.3">
      <c r="A13" s="5">
        <v>0.4</v>
      </c>
      <c r="B13" s="28">
        <v>0</v>
      </c>
      <c r="C13" s="51"/>
      <c r="D13" s="52" t="e">
        <f t="shared" si="8"/>
        <v>#N/A</v>
      </c>
      <c r="E13" s="52">
        <f t="shared" si="2"/>
        <v>0</v>
      </c>
      <c r="F13" s="52">
        <f t="shared" si="0"/>
        <v>0</v>
      </c>
      <c r="G13" s="53">
        <f>SUM(Provisionsberechnung!I48)</f>
        <v>0</v>
      </c>
      <c r="H13" s="29" t="s">
        <v>17</v>
      </c>
      <c r="I13" s="26">
        <f>SUM(I3/4*4)</f>
        <v>440000</v>
      </c>
      <c r="J13" s="27">
        <f>SUM(G10:G13)</f>
        <v>129945.23000000001</v>
      </c>
      <c r="K13" s="54">
        <f t="shared" si="3"/>
        <v>0.29533006818181823</v>
      </c>
      <c r="L13" s="55">
        <f t="shared" si="1"/>
        <v>0.3</v>
      </c>
      <c r="M13" s="56" t="e">
        <f t="shared" si="4"/>
        <v>#N/A</v>
      </c>
      <c r="N13" s="21" t="e">
        <f>SUM($I$7/4*4*M13)</f>
        <v>#N/A</v>
      </c>
      <c r="O13" s="22" t="e">
        <f t="shared" si="5"/>
        <v>#N/A</v>
      </c>
      <c r="P13" s="23" t="e">
        <f t="shared" si="6"/>
        <v>#N/A</v>
      </c>
      <c r="Q13" s="24" t="e">
        <f t="shared" si="9"/>
        <v>#N/A</v>
      </c>
      <c r="R13" s="25">
        <v>0</v>
      </c>
      <c r="S13" s="26">
        <f t="shared" si="10"/>
        <v>5000</v>
      </c>
      <c r="T13" s="27" t="e">
        <f t="shared" si="11"/>
        <v>#N/A</v>
      </c>
      <c r="U13" s="57" t="e">
        <f t="shared" si="7"/>
        <v>#N/A</v>
      </c>
    </row>
    <row r="14" spans="1:22" x14ac:dyDescent="0.25">
      <c r="A14" s="5">
        <v>0.41</v>
      </c>
      <c r="B14" s="28">
        <v>0</v>
      </c>
      <c r="C14" s="5"/>
    </row>
    <row r="15" spans="1:22" x14ac:dyDescent="0.25">
      <c r="A15" s="5">
        <v>0.42</v>
      </c>
      <c r="B15" s="28">
        <v>0</v>
      </c>
      <c r="C15" s="5"/>
    </row>
    <row r="16" spans="1:22" x14ac:dyDescent="0.25">
      <c r="A16" s="5">
        <v>0.43</v>
      </c>
      <c r="B16" s="28">
        <v>0</v>
      </c>
      <c r="C16" s="5"/>
      <c r="D16" s="5"/>
      <c r="E16" s="5"/>
      <c r="F16" s="5"/>
    </row>
    <row r="17" spans="1:6" x14ac:dyDescent="0.25">
      <c r="A17" s="5">
        <v>0.44</v>
      </c>
      <c r="B17" s="28">
        <v>0</v>
      </c>
      <c r="C17" s="5"/>
      <c r="D17" s="5"/>
      <c r="E17" s="5"/>
      <c r="F17" s="5"/>
    </row>
    <row r="18" spans="1:6" x14ac:dyDescent="0.25">
      <c r="A18" s="5">
        <v>0.45</v>
      </c>
      <c r="B18" s="28">
        <v>0</v>
      </c>
      <c r="C18" s="5"/>
      <c r="D18" s="5"/>
      <c r="E18" s="5"/>
      <c r="F18" s="5"/>
    </row>
    <row r="19" spans="1:6" x14ac:dyDescent="0.25">
      <c r="A19" s="5">
        <v>0.46</v>
      </c>
      <c r="B19" s="28">
        <v>0</v>
      </c>
      <c r="C19" s="5"/>
      <c r="D19" s="5"/>
      <c r="E19" s="5"/>
      <c r="F19" s="5"/>
    </row>
    <row r="20" spans="1:6" x14ac:dyDescent="0.25">
      <c r="A20" s="5">
        <v>0.47</v>
      </c>
      <c r="B20" s="28">
        <v>0</v>
      </c>
      <c r="C20" s="5"/>
      <c r="D20" s="5"/>
      <c r="E20" s="5"/>
      <c r="F20" s="5"/>
    </row>
    <row r="21" spans="1:6" x14ac:dyDescent="0.25">
      <c r="A21" s="5">
        <v>0.48</v>
      </c>
      <c r="B21" s="28">
        <v>0</v>
      </c>
      <c r="C21" s="5"/>
      <c r="D21" s="5"/>
      <c r="E21" s="5"/>
      <c r="F21" s="5"/>
    </row>
    <row r="22" spans="1:6" x14ac:dyDescent="0.25">
      <c r="A22" s="5">
        <v>0.49</v>
      </c>
      <c r="B22" s="28">
        <v>0</v>
      </c>
      <c r="C22" s="5"/>
      <c r="D22" s="5"/>
      <c r="E22" s="5"/>
      <c r="F22" s="5"/>
    </row>
    <row r="23" spans="1:6" x14ac:dyDescent="0.25">
      <c r="A23" s="5">
        <v>0.5</v>
      </c>
      <c r="B23" s="28">
        <v>0.1</v>
      </c>
      <c r="C23" s="5"/>
      <c r="D23" s="5"/>
      <c r="E23" s="5"/>
      <c r="F23" s="5"/>
    </row>
    <row r="24" spans="1:6" x14ac:dyDescent="0.25">
      <c r="A24" s="5">
        <v>0.51</v>
      </c>
      <c r="B24" s="28">
        <v>0.12</v>
      </c>
      <c r="C24" s="5"/>
      <c r="D24" s="5"/>
      <c r="E24" s="5"/>
      <c r="F24" s="5"/>
    </row>
    <row r="25" spans="1:6" x14ac:dyDescent="0.25">
      <c r="A25" s="5">
        <v>0.52</v>
      </c>
      <c r="B25" s="28">
        <v>0.14000000000000001</v>
      </c>
      <c r="C25" s="5"/>
      <c r="D25" s="5"/>
      <c r="E25" s="5"/>
      <c r="F25" s="5"/>
    </row>
    <row r="26" spans="1:6" x14ac:dyDescent="0.25">
      <c r="A26" s="5">
        <v>0.53</v>
      </c>
      <c r="B26" s="28">
        <v>0.16</v>
      </c>
      <c r="C26" s="5"/>
      <c r="D26" s="5"/>
      <c r="E26" s="5"/>
      <c r="F26" s="5"/>
    </row>
    <row r="27" spans="1:6" x14ac:dyDescent="0.25">
      <c r="A27" s="5">
        <v>0.54</v>
      </c>
      <c r="B27" s="28">
        <v>0.18</v>
      </c>
      <c r="C27" s="5"/>
      <c r="D27" s="5"/>
      <c r="E27" s="5"/>
      <c r="F27" s="5"/>
    </row>
    <row r="28" spans="1:6" x14ac:dyDescent="0.25">
      <c r="A28" s="5">
        <v>0.55000000000000004</v>
      </c>
      <c r="B28" s="28">
        <v>0.2</v>
      </c>
      <c r="C28" s="5"/>
      <c r="D28" s="5"/>
      <c r="E28" s="5"/>
      <c r="F28" s="5"/>
    </row>
    <row r="29" spans="1:6" x14ac:dyDescent="0.25">
      <c r="A29" s="5">
        <v>0.56000000000000005</v>
      </c>
      <c r="B29" s="28">
        <v>0.22</v>
      </c>
      <c r="C29" s="5"/>
      <c r="D29" s="5"/>
      <c r="E29" s="5"/>
      <c r="F29" s="5"/>
    </row>
    <row r="30" spans="1:6" x14ac:dyDescent="0.25">
      <c r="A30" s="5">
        <v>0.56999999999999995</v>
      </c>
      <c r="B30" s="28">
        <v>0.24</v>
      </c>
      <c r="C30" s="5"/>
      <c r="D30" s="5"/>
      <c r="E30" s="5"/>
      <c r="F30" s="5"/>
    </row>
    <row r="31" spans="1:6" x14ac:dyDescent="0.25">
      <c r="A31" s="5">
        <v>0.57999999999999996</v>
      </c>
      <c r="B31" s="28">
        <v>0.26</v>
      </c>
      <c r="C31" s="5"/>
      <c r="D31" s="5"/>
      <c r="E31" s="5"/>
      <c r="F31" s="5"/>
    </row>
    <row r="32" spans="1:6" x14ac:dyDescent="0.25">
      <c r="A32" s="5">
        <v>0.59</v>
      </c>
      <c r="B32" s="28">
        <v>0.28000000000000003</v>
      </c>
      <c r="C32" s="5"/>
      <c r="D32" s="5"/>
      <c r="E32" s="5"/>
      <c r="F32" s="5"/>
    </row>
    <row r="33" spans="1:6" x14ac:dyDescent="0.25">
      <c r="A33" s="5">
        <v>0.6</v>
      </c>
      <c r="B33" s="28">
        <v>0.3</v>
      </c>
      <c r="C33" s="5"/>
      <c r="D33" s="5"/>
      <c r="E33" s="5"/>
      <c r="F33" s="5"/>
    </row>
    <row r="34" spans="1:6" x14ac:dyDescent="0.25">
      <c r="A34" s="5">
        <v>0.61</v>
      </c>
      <c r="B34" s="28">
        <v>0.31</v>
      </c>
      <c r="C34" s="5"/>
      <c r="D34" s="5"/>
      <c r="E34" s="5"/>
      <c r="F34" s="5"/>
    </row>
    <row r="35" spans="1:6" x14ac:dyDescent="0.25">
      <c r="A35" s="5">
        <v>0.62</v>
      </c>
      <c r="B35" s="28">
        <v>0.32</v>
      </c>
      <c r="C35" s="5"/>
      <c r="D35" s="5"/>
      <c r="E35" s="5"/>
      <c r="F35" s="5"/>
    </row>
    <row r="36" spans="1:6" x14ac:dyDescent="0.25">
      <c r="A36" s="5">
        <v>0.63</v>
      </c>
      <c r="B36" s="28">
        <v>0.33</v>
      </c>
      <c r="C36" s="5"/>
      <c r="D36" s="5"/>
      <c r="E36" s="5"/>
      <c r="F36" s="5"/>
    </row>
    <row r="37" spans="1:6" x14ac:dyDescent="0.25">
      <c r="A37" s="5">
        <v>0.64</v>
      </c>
      <c r="B37" s="28">
        <v>0.34</v>
      </c>
      <c r="C37" s="5"/>
      <c r="D37" s="5"/>
      <c r="E37" s="5"/>
      <c r="F37" s="5"/>
    </row>
    <row r="38" spans="1:6" x14ac:dyDescent="0.25">
      <c r="A38" s="5">
        <v>0.65</v>
      </c>
      <c r="B38" s="28">
        <v>0.35</v>
      </c>
      <c r="C38" s="5"/>
      <c r="D38" s="5"/>
      <c r="E38" s="5"/>
      <c r="F38" s="5"/>
    </row>
    <row r="39" spans="1:6" x14ac:dyDescent="0.25">
      <c r="A39" s="5">
        <v>0.66</v>
      </c>
      <c r="B39" s="28">
        <v>0.36</v>
      </c>
      <c r="C39" s="5"/>
      <c r="D39" s="5"/>
      <c r="E39" s="5"/>
      <c r="F39" s="5"/>
    </row>
    <row r="40" spans="1:6" x14ac:dyDescent="0.25">
      <c r="A40" s="5">
        <v>0.67</v>
      </c>
      <c r="B40" s="28">
        <v>0.37</v>
      </c>
      <c r="C40" s="5"/>
      <c r="D40" s="5"/>
      <c r="E40" s="5"/>
      <c r="F40" s="5"/>
    </row>
    <row r="41" spans="1:6" x14ac:dyDescent="0.25">
      <c r="A41" s="5">
        <v>0.68</v>
      </c>
      <c r="B41" s="28">
        <v>0.38</v>
      </c>
      <c r="C41" s="5"/>
      <c r="D41" s="5"/>
      <c r="E41" s="5"/>
      <c r="F41" s="5"/>
    </row>
    <row r="42" spans="1:6" x14ac:dyDescent="0.25">
      <c r="A42" s="5">
        <v>0.69</v>
      </c>
      <c r="B42" s="28">
        <v>0.39</v>
      </c>
      <c r="C42" s="5"/>
      <c r="D42" s="5"/>
      <c r="E42" s="5"/>
      <c r="F42" s="5"/>
    </row>
    <row r="43" spans="1:6" x14ac:dyDescent="0.25">
      <c r="A43" s="5">
        <v>0.7</v>
      </c>
      <c r="B43" s="28">
        <v>0.4</v>
      </c>
      <c r="C43" s="5"/>
      <c r="D43" s="5"/>
      <c r="E43" s="5"/>
      <c r="F43" s="5"/>
    </row>
    <row r="44" spans="1:6" x14ac:dyDescent="0.25">
      <c r="A44" s="5">
        <v>0.71</v>
      </c>
      <c r="B44" s="28">
        <v>0.42</v>
      </c>
      <c r="C44" s="5"/>
      <c r="D44" s="5"/>
      <c r="E44" s="5"/>
      <c r="F44" s="5"/>
    </row>
    <row r="45" spans="1:6" x14ac:dyDescent="0.25">
      <c r="A45" s="5">
        <v>0.72</v>
      </c>
      <c r="B45" s="28">
        <v>0.44</v>
      </c>
      <c r="C45" s="5"/>
      <c r="D45" s="5"/>
      <c r="E45" s="5"/>
      <c r="F45" s="5"/>
    </row>
    <row r="46" spans="1:6" x14ac:dyDescent="0.25">
      <c r="A46" s="5">
        <v>0.73</v>
      </c>
      <c r="B46" s="28">
        <v>0.46</v>
      </c>
      <c r="C46" s="5"/>
      <c r="D46" s="5"/>
      <c r="E46" s="5"/>
      <c r="F46" s="5"/>
    </row>
    <row r="47" spans="1:6" x14ac:dyDescent="0.25">
      <c r="A47" s="5">
        <v>0.73999999999999899</v>
      </c>
      <c r="B47" s="28">
        <v>0.48</v>
      </c>
      <c r="C47" s="5"/>
      <c r="D47" s="5"/>
      <c r="E47" s="5"/>
      <c r="F47" s="5"/>
    </row>
    <row r="48" spans="1:6" x14ac:dyDescent="0.25">
      <c r="A48" s="5">
        <v>0.749999999999999</v>
      </c>
      <c r="B48" s="28">
        <v>0.5</v>
      </c>
      <c r="C48" s="5"/>
      <c r="D48" s="5"/>
      <c r="E48" s="5"/>
      <c r="F48" s="5"/>
    </row>
    <row r="49" spans="1:6" x14ac:dyDescent="0.25">
      <c r="A49" s="5">
        <v>0.75999999999999901</v>
      </c>
      <c r="B49" s="28">
        <v>0.52</v>
      </c>
      <c r="C49" s="5"/>
      <c r="D49" s="5"/>
      <c r="E49" s="5"/>
      <c r="F49" s="5"/>
    </row>
    <row r="50" spans="1:6" x14ac:dyDescent="0.25">
      <c r="A50" s="5">
        <v>0.76999999999999902</v>
      </c>
      <c r="B50" s="28">
        <v>0.54</v>
      </c>
      <c r="C50" s="5"/>
      <c r="D50" s="5"/>
      <c r="E50" s="5"/>
      <c r="F50" s="5"/>
    </row>
    <row r="51" spans="1:6" x14ac:dyDescent="0.25">
      <c r="A51" s="5">
        <v>0.77999999999999903</v>
      </c>
      <c r="B51" s="28">
        <v>0.56000000000000005</v>
      </c>
      <c r="C51" s="5"/>
      <c r="D51" s="5"/>
      <c r="E51" s="5"/>
      <c r="F51" s="5"/>
    </row>
    <row r="52" spans="1:6" x14ac:dyDescent="0.25">
      <c r="A52" s="5">
        <v>0.78999999999999904</v>
      </c>
      <c r="B52" s="28">
        <v>0.57999999999999996</v>
      </c>
      <c r="C52" s="5"/>
      <c r="D52" s="5"/>
      <c r="E52" s="5"/>
      <c r="F52" s="5"/>
    </row>
    <row r="53" spans="1:6" x14ac:dyDescent="0.25">
      <c r="A53" s="5">
        <v>0.79999999999999905</v>
      </c>
      <c r="B53" s="28">
        <v>0.6</v>
      </c>
      <c r="C53" s="5"/>
      <c r="D53" s="5"/>
      <c r="E53" s="5"/>
      <c r="F53" s="5"/>
    </row>
    <row r="54" spans="1:6" x14ac:dyDescent="0.25">
      <c r="A54" s="5">
        <v>0.80999999999999905</v>
      </c>
      <c r="B54" s="28">
        <v>0.62</v>
      </c>
      <c r="C54" s="5"/>
      <c r="D54" s="5"/>
      <c r="E54" s="5"/>
      <c r="F54" s="5"/>
    </row>
    <row r="55" spans="1:6" x14ac:dyDescent="0.25">
      <c r="A55" s="5">
        <v>0.81999999999999895</v>
      </c>
      <c r="B55" s="28">
        <v>0.64</v>
      </c>
      <c r="C55" s="5"/>
      <c r="D55" s="5"/>
      <c r="E55" s="5"/>
      <c r="F55" s="5"/>
    </row>
    <row r="56" spans="1:6" x14ac:dyDescent="0.25">
      <c r="A56" s="5">
        <v>0.82999999999999796</v>
      </c>
      <c r="B56" s="28">
        <v>0.66</v>
      </c>
      <c r="C56" s="5"/>
      <c r="D56" s="5"/>
      <c r="E56" s="5"/>
      <c r="F56" s="5"/>
    </row>
    <row r="57" spans="1:6" x14ac:dyDescent="0.25">
      <c r="A57" s="5">
        <v>0.83999999999999797</v>
      </c>
      <c r="B57" s="28">
        <v>0.68</v>
      </c>
      <c r="C57" s="5"/>
      <c r="D57" s="5"/>
      <c r="E57" s="5"/>
      <c r="F57" s="5"/>
    </row>
    <row r="58" spans="1:6" x14ac:dyDescent="0.25">
      <c r="A58" s="5">
        <v>0.84999999999999798</v>
      </c>
      <c r="B58" s="28">
        <v>0.7</v>
      </c>
      <c r="C58" s="5"/>
      <c r="D58" s="5"/>
      <c r="E58" s="5"/>
      <c r="F58" s="5"/>
    </row>
    <row r="59" spans="1:6" x14ac:dyDescent="0.25">
      <c r="A59" s="5">
        <v>0.85999999999999799</v>
      </c>
      <c r="B59" s="28">
        <v>0.72</v>
      </c>
      <c r="C59" s="5"/>
      <c r="D59" s="5"/>
      <c r="E59" s="5"/>
      <c r="F59" s="5"/>
    </row>
    <row r="60" spans="1:6" x14ac:dyDescent="0.25">
      <c r="A60" s="5">
        <v>0.869999999999998</v>
      </c>
      <c r="B60" s="28">
        <v>0.74</v>
      </c>
      <c r="C60" s="5"/>
      <c r="D60" s="5"/>
      <c r="E60" s="5"/>
      <c r="F60" s="5"/>
    </row>
    <row r="61" spans="1:6" x14ac:dyDescent="0.25">
      <c r="A61" s="5">
        <v>0.87999999999999801</v>
      </c>
      <c r="B61" s="28">
        <v>0.76</v>
      </c>
      <c r="C61" s="5"/>
      <c r="D61" s="5"/>
      <c r="E61" s="5"/>
      <c r="F61" s="5"/>
    </row>
    <row r="62" spans="1:6" x14ac:dyDescent="0.25">
      <c r="A62" s="5">
        <v>0.88999999999999801</v>
      </c>
      <c r="B62" s="28">
        <v>0.78</v>
      </c>
      <c r="C62" s="5"/>
      <c r="D62" s="5"/>
      <c r="E62" s="5"/>
      <c r="F62" s="5"/>
    </row>
    <row r="63" spans="1:6" x14ac:dyDescent="0.25">
      <c r="A63" s="5">
        <v>0.89999999999999802</v>
      </c>
      <c r="B63" s="28">
        <v>0.8</v>
      </c>
      <c r="C63" s="5"/>
      <c r="D63" s="5"/>
      <c r="E63" s="5"/>
      <c r="F63" s="5"/>
    </row>
    <row r="64" spans="1:6" x14ac:dyDescent="0.25">
      <c r="A64" s="5">
        <v>0.90999999999999803</v>
      </c>
      <c r="B64" s="28">
        <v>0.82</v>
      </c>
      <c r="C64" s="5"/>
      <c r="D64" s="5"/>
      <c r="E64" s="5"/>
      <c r="F64" s="5"/>
    </row>
    <row r="65" spans="1:6" x14ac:dyDescent="0.25">
      <c r="A65" s="5">
        <v>0.91999999999999804</v>
      </c>
      <c r="B65" s="28">
        <v>0.84</v>
      </c>
      <c r="C65" s="5"/>
      <c r="D65" s="5"/>
      <c r="E65" s="5"/>
      <c r="F65" s="5"/>
    </row>
    <row r="66" spans="1:6" x14ac:dyDescent="0.25">
      <c r="A66" s="5">
        <v>0.92999999999999705</v>
      </c>
      <c r="B66" s="28">
        <v>0.86</v>
      </c>
      <c r="C66" s="5"/>
      <c r="D66" s="5"/>
      <c r="E66" s="5"/>
      <c r="F66" s="5"/>
    </row>
    <row r="67" spans="1:6" x14ac:dyDescent="0.25">
      <c r="A67" s="5">
        <v>0.93999999999999695</v>
      </c>
      <c r="B67" s="28">
        <v>0.88</v>
      </c>
      <c r="C67" s="5"/>
      <c r="D67" s="5"/>
      <c r="E67" s="5"/>
      <c r="F67" s="5"/>
    </row>
    <row r="68" spans="1:6" x14ac:dyDescent="0.25">
      <c r="A68" s="5">
        <v>0.94999999999999696</v>
      </c>
      <c r="B68" s="28">
        <v>0.9</v>
      </c>
      <c r="C68" s="5"/>
      <c r="D68" s="5"/>
      <c r="E68" s="5"/>
      <c r="F68" s="5"/>
    </row>
    <row r="69" spans="1:6" x14ac:dyDescent="0.25">
      <c r="A69" s="5">
        <v>0.95999999999999697</v>
      </c>
      <c r="B69" s="28">
        <v>0.92</v>
      </c>
      <c r="C69" s="5"/>
      <c r="D69" s="5"/>
      <c r="E69" s="5"/>
      <c r="F69" s="5"/>
    </row>
    <row r="70" spans="1:6" x14ac:dyDescent="0.25">
      <c r="A70" s="5">
        <v>0.96999999999999698</v>
      </c>
      <c r="B70" s="28">
        <v>0.94</v>
      </c>
      <c r="C70" s="5"/>
      <c r="D70" s="5"/>
      <c r="E70" s="5"/>
      <c r="F70" s="5"/>
    </row>
    <row r="71" spans="1:6" x14ac:dyDescent="0.25">
      <c r="A71" s="5">
        <v>0.97999999999999698</v>
      </c>
      <c r="B71" s="28">
        <v>0.96</v>
      </c>
      <c r="C71" s="5"/>
      <c r="D71" s="5"/>
      <c r="E71" s="5"/>
      <c r="F71" s="5"/>
    </row>
    <row r="72" spans="1:6" x14ac:dyDescent="0.25">
      <c r="A72" s="5">
        <v>0.98999999999999699</v>
      </c>
      <c r="B72" s="28">
        <v>0.98</v>
      </c>
      <c r="C72" s="5"/>
      <c r="D72" s="5"/>
      <c r="E72" s="5"/>
      <c r="F72" s="5"/>
    </row>
    <row r="73" spans="1:6" x14ac:dyDescent="0.25">
      <c r="A73" s="5">
        <v>0.999999999999997</v>
      </c>
      <c r="B73" s="28">
        <v>1</v>
      </c>
      <c r="C73" s="5"/>
      <c r="D73" s="5"/>
      <c r="E73" s="5"/>
      <c r="F73" s="5"/>
    </row>
    <row r="74" spans="1:6" x14ac:dyDescent="0.25">
      <c r="A74" s="5">
        <v>1.01</v>
      </c>
      <c r="B74" s="28">
        <v>1.02</v>
      </c>
      <c r="C74" s="5"/>
      <c r="D74" s="5"/>
      <c r="E74" s="5"/>
      <c r="F74" s="5"/>
    </row>
    <row r="75" spans="1:6" x14ac:dyDescent="0.25">
      <c r="A75" s="5">
        <v>1.02</v>
      </c>
      <c r="B75" s="28">
        <v>1.04</v>
      </c>
      <c r="C75" s="5"/>
      <c r="D75" s="5"/>
      <c r="E75" s="5"/>
      <c r="F75" s="5"/>
    </row>
    <row r="76" spans="1:6" x14ac:dyDescent="0.25">
      <c r="A76" s="5">
        <v>1.03</v>
      </c>
      <c r="B76" s="28">
        <v>1.06</v>
      </c>
      <c r="C76" s="5"/>
      <c r="D76" s="5"/>
      <c r="E76" s="5"/>
      <c r="F76" s="5"/>
    </row>
    <row r="77" spans="1:6" x14ac:dyDescent="0.25">
      <c r="A77" s="5">
        <v>1.04</v>
      </c>
      <c r="B77" s="28">
        <v>1.08</v>
      </c>
      <c r="C77" s="5"/>
      <c r="D77" s="5"/>
      <c r="E77" s="5"/>
      <c r="F77" s="5"/>
    </row>
    <row r="78" spans="1:6" x14ac:dyDescent="0.25">
      <c r="A78" s="5">
        <v>1.05</v>
      </c>
      <c r="B78" s="28">
        <v>1.1000000000000001</v>
      </c>
      <c r="C78" s="5"/>
      <c r="D78" s="5"/>
      <c r="E78" s="5"/>
      <c r="F78" s="5"/>
    </row>
    <row r="79" spans="1:6" x14ac:dyDescent="0.25">
      <c r="A79" s="5">
        <v>1.06</v>
      </c>
      <c r="B79" s="28">
        <v>1.1200000000000001</v>
      </c>
      <c r="C79" s="5"/>
      <c r="D79" s="5"/>
      <c r="E79" s="5"/>
      <c r="F79" s="5"/>
    </row>
    <row r="80" spans="1:6" x14ac:dyDescent="0.25">
      <c r="A80" s="5">
        <v>1.07</v>
      </c>
      <c r="B80" s="28">
        <v>1.1399999999999999</v>
      </c>
      <c r="C80" s="5"/>
      <c r="D80" s="5"/>
      <c r="E80" s="5"/>
      <c r="F80" s="5"/>
    </row>
    <row r="81" spans="1:6" x14ac:dyDescent="0.25">
      <c r="A81" s="5">
        <v>1.08</v>
      </c>
      <c r="B81" s="28">
        <v>1.1599999999999999</v>
      </c>
      <c r="C81" s="5"/>
      <c r="D81" s="5"/>
      <c r="E81" s="5"/>
      <c r="F81" s="5"/>
    </row>
    <row r="82" spans="1:6" x14ac:dyDescent="0.25">
      <c r="A82" s="5">
        <v>1.0900000000000001</v>
      </c>
      <c r="B82" s="28">
        <v>1.18</v>
      </c>
      <c r="C82" s="5"/>
      <c r="D82" s="5"/>
      <c r="E82" s="5"/>
      <c r="F82" s="5"/>
    </row>
    <row r="83" spans="1:6" x14ac:dyDescent="0.25">
      <c r="A83" s="5">
        <v>1.1000000000000001</v>
      </c>
      <c r="B83" s="28">
        <v>1.2</v>
      </c>
      <c r="C83" s="5"/>
      <c r="D83" s="5"/>
      <c r="E83" s="5"/>
      <c r="F83" s="5"/>
    </row>
    <row r="84" spans="1:6" x14ac:dyDescent="0.25">
      <c r="A84" s="5">
        <v>1.1100000000000001</v>
      </c>
      <c r="B84" s="28">
        <v>1.21</v>
      </c>
      <c r="C84" s="5"/>
      <c r="D84" s="5"/>
      <c r="E84" s="5"/>
      <c r="F84" s="5"/>
    </row>
    <row r="85" spans="1:6" x14ac:dyDescent="0.25">
      <c r="A85" s="5">
        <v>1.1200000000000001</v>
      </c>
      <c r="B85" s="28">
        <v>1.22</v>
      </c>
      <c r="C85" s="5"/>
      <c r="D85" s="5"/>
      <c r="E85" s="5"/>
      <c r="F85" s="5"/>
    </row>
    <row r="86" spans="1:6" x14ac:dyDescent="0.25">
      <c r="A86" s="5">
        <v>1.1299999999999999</v>
      </c>
      <c r="B86" s="28">
        <v>1.23</v>
      </c>
      <c r="C86" s="5"/>
      <c r="D86" s="5"/>
      <c r="E86" s="5"/>
      <c r="F86" s="5"/>
    </row>
    <row r="87" spans="1:6" x14ac:dyDescent="0.25">
      <c r="A87" s="5">
        <v>1.1399999999999999</v>
      </c>
      <c r="B87" s="28">
        <v>1.24</v>
      </c>
      <c r="C87" s="5"/>
      <c r="D87" s="5"/>
      <c r="E87" s="5"/>
      <c r="F87" s="5"/>
    </row>
    <row r="88" spans="1:6" x14ac:dyDescent="0.25">
      <c r="A88" s="5">
        <v>1.1499999999999999</v>
      </c>
      <c r="B88" s="28">
        <v>1.25</v>
      </c>
      <c r="C88" s="5"/>
      <c r="D88" s="5"/>
      <c r="E88" s="5"/>
      <c r="F88" s="5"/>
    </row>
    <row r="89" spans="1:6" x14ac:dyDescent="0.25">
      <c r="A89" s="5">
        <v>1.1599999999999999</v>
      </c>
      <c r="B89" s="28">
        <v>1.26</v>
      </c>
      <c r="C89" s="5"/>
      <c r="D89" s="5"/>
      <c r="E89" s="5"/>
      <c r="F89" s="5"/>
    </row>
    <row r="90" spans="1:6" x14ac:dyDescent="0.25">
      <c r="A90" s="5">
        <v>1.17</v>
      </c>
      <c r="B90" s="28">
        <v>1.27</v>
      </c>
      <c r="C90" s="5"/>
      <c r="D90" s="5"/>
      <c r="E90" s="5"/>
      <c r="F90" s="5"/>
    </row>
    <row r="91" spans="1:6" x14ac:dyDescent="0.25">
      <c r="A91" s="5">
        <v>1.18</v>
      </c>
      <c r="B91" s="28">
        <v>1.28</v>
      </c>
      <c r="C91" s="5"/>
      <c r="D91" s="5"/>
      <c r="E91" s="5"/>
      <c r="F91" s="5"/>
    </row>
    <row r="92" spans="1:6" x14ac:dyDescent="0.25">
      <c r="A92" s="5">
        <v>1.19</v>
      </c>
      <c r="B92" s="28">
        <v>1.29</v>
      </c>
      <c r="C92" s="5"/>
      <c r="D92" s="5"/>
      <c r="E92" s="5"/>
      <c r="F92" s="5"/>
    </row>
    <row r="93" spans="1:6" x14ac:dyDescent="0.25">
      <c r="A93" s="5">
        <v>1.2</v>
      </c>
      <c r="B93" s="28">
        <v>1.3</v>
      </c>
      <c r="C93" s="5"/>
      <c r="D93" s="5"/>
      <c r="E93" s="5"/>
      <c r="F93" s="5"/>
    </row>
    <row r="94" spans="1:6" x14ac:dyDescent="0.25">
      <c r="A94" s="5">
        <v>1.21</v>
      </c>
      <c r="B94" s="28">
        <v>1.31</v>
      </c>
      <c r="C94" s="5"/>
      <c r="D94" s="5"/>
      <c r="E94" s="5"/>
      <c r="F94" s="5"/>
    </row>
    <row r="95" spans="1:6" x14ac:dyDescent="0.25">
      <c r="A95" s="5">
        <v>1.21999999999999</v>
      </c>
      <c r="B95" s="28">
        <v>1.32</v>
      </c>
      <c r="C95" s="5"/>
      <c r="D95" s="5"/>
      <c r="E95" s="5"/>
      <c r="F95" s="5"/>
    </row>
    <row r="96" spans="1:6" x14ac:dyDescent="0.25">
      <c r="A96" s="5">
        <v>1.22999999999999</v>
      </c>
      <c r="B96" s="28">
        <v>1.33</v>
      </c>
      <c r="C96" s="5"/>
      <c r="D96" s="5"/>
      <c r="E96" s="5"/>
      <c r="F96" s="5"/>
    </row>
    <row r="97" spans="1:6" x14ac:dyDescent="0.25">
      <c r="A97" s="5">
        <v>1.23999999999999</v>
      </c>
      <c r="B97" s="28">
        <v>1.34</v>
      </c>
      <c r="C97" s="5"/>
      <c r="D97" s="5"/>
      <c r="E97" s="5"/>
      <c r="F97" s="5"/>
    </row>
    <row r="98" spans="1:6" x14ac:dyDescent="0.25">
      <c r="A98" s="5">
        <v>1.24999999999999</v>
      </c>
      <c r="B98" s="28">
        <v>1.35</v>
      </c>
      <c r="C98" s="5"/>
      <c r="D98" s="5"/>
      <c r="E98" s="5"/>
      <c r="F98" s="5"/>
    </row>
    <row r="99" spans="1:6" x14ac:dyDescent="0.25">
      <c r="A99" s="5">
        <v>1.25999999999999</v>
      </c>
      <c r="B99" s="28">
        <v>1.36</v>
      </c>
      <c r="C99" s="5"/>
      <c r="D99" s="5"/>
      <c r="E99" s="5"/>
      <c r="F99" s="5"/>
    </row>
    <row r="100" spans="1:6" x14ac:dyDescent="0.25">
      <c r="A100" s="5">
        <v>1.26999999999999</v>
      </c>
      <c r="B100" s="28">
        <v>1.37</v>
      </c>
      <c r="C100" s="5"/>
      <c r="D100" s="5"/>
      <c r="E100" s="5"/>
      <c r="F100" s="5"/>
    </row>
    <row r="101" spans="1:6" x14ac:dyDescent="0.25">
      <c r="A101" s="5">
        <v>1.27999999999999</v>
      </c>
      <c r="B101" s="28">
        <v>1.38</v>
      </c>
      <c r="C101" s="5"/>
      <c r="D101" s="5"/>
      <c r="E101" s="5"/>
      <c r="F101" s="5"/>
    </row>
    <row r="102" spans="1:6" x14ac:dyDescent="0.25">
      <c r="A102" s="5">
        <v>1.28999999999999</v>
      </c>
      <c r="B102" s="28">
        <v>1.39</v>
      </c>
      <c r="C102" s="5"/>
      <c r="D102" s="5"/>
      <c r="E102" s="5"/>
      <c r="F102" s="5"/>
    </row>
    <row r="103" spans="1:6" x14ac:dyDescent="0.25">
      <c r="A103" s="5">
        <v>1.2999999999999901</v>
      </c>
      <c r="B103" s="28">
        <v>1.4</v>
      </c>
      <c r="C103" s="5"/>
      <c r="D103" s="5"/>
      <c r="E103" s="5"/>
      <c r="F103" s="5"/>
    </row>
    <row r="104" spans="1:6" x14ac:dyDescent="0.25">
      <c r="A104" s="5">
        <v>1.3099999999999901</v>
      </c>
      <c r="B104" s="28">
        <v>1.41</v>
      </c>
      <c r="C104" s="5"/>
      <c r="D104" s="5"/>
      <c r="E104" s="5"/>
      <c r="F104" s="5"/>
    </row>
    <row r="105" spans="1:6" x14ac:dyDescent="0.25">
      <c r="A105" s="5">
        <v>1.3199999999999901</v>
      </c>
      <c r="B105" s="28">
        <v>1.42</v>
      </c>
      <c r="C105" s="5"/>
      <c r="D105" s="5"/>
      <c r="E105" s="5"/>
      <c r="F105" s="5"/>
    </row>
    <row r="106" spans="1:6" x14ac:dyDescent="0.25">
      <c r="A106" s="5">
        <v>1.3299999999999901</v>
      </c>
      <c r="B106" s="28">
        <v>1.43</v>
      </c>
      <c r="C106" s="5"/>
      <c r="D106" s="5"/>
      <c r="E106" s="5"/>
      <c r="F106" s="5"/>
    </row>
    <row r="107" spans="1:6" x14ac:dyDescent="0.25">
      <c r="A107" s="5">
        <v>1.3399999999999901</v>
      </c>
      <c r="B107" s="28">
        <v>1.44</v>
      </c>
      <c r="C107" s="5"/>
      <c r="D107" s="5"/>
      <c r="E107" s="5"/>
      <c r="F107" s="5"/>
    </row>
    <row r="108" spans="1:6" x14ac:dyDescent="0.25">
      <c r="A108" s="5">
        <v>1.3499999999999901</v>
      </c>
      <c r="B108" s="28">
        <v>1.45</v>
      </c>
      <c r="C108" s="5"/>
      <c r="D108" s="5"/>
      <c r="E108" s="5"/>
      <c r="F108" s="5"/>
    </row>
    <row r="109" spans="1:6" x14ac:dyDescent="0.25">
      <c r="A109" s="5">
        <v>1.3599999999999901</v>
      </c>
      <c r="B109" s="28">
        <v>1.46</v>
      </c>
      <c r="C109" s="5"/>
      <c r="D109" s="5"/>
      <c r="E109" s="5"/>
      <c r="F109" s="5"/>
    </row>
    <row r="110" spans="1:6" x14ac:dyDescent="0.25">
      <c r="A110" s="5">
        <v>1.3699999999999899</v>
      </c>
      <c r="B110" s="28">
        <v>1.47</v>
      </c>
      <c r="C110" s="5"/>
      <c r="D110" s="5"/>
      <c r="E110" s="5"/>
      <c r="F110" s="5"/>
    </row>
    <row r="111" spans="1:6" x14ac:dyDescent="0.25">
      <c r="A111" s="5">
        <v>1.3799999999999899</v>
      </c>
      <c r="B111" s="28">
        <v>1.48</v>
      </c>
      <c r="C111" s="5"/>
      <c r="D111" s="5"/>
      <c r="E111" s="5"/>
      <c r="F111" s="5"/>
    </row>
    <row r="112" spans="1:6" x14ac:dyDescent="0.25">
      <c r="A112" s="5">
        <v>1.3899999999999899</v>
      </c>
      <c r="B112" s="28">
        <v>1.49</v>
      </c>
      <c r="C112" s="5"/>
      <c r="D112" s="5"/>
      <c r="E112" s="5"/>
      <c r="F112" s="5"/>
    </row>
    <row r="113" spans="1:6" x14ac:dyDescent="0.25">
      <c r="A113" s="5">
        <v>1.3999999999999899</v>
      </c>
      <c r="B113" s="28">
        <v>1.5</v>
      </c>
      <c r="C113" s="5"/>
      <c r="D113" s="5"/>
      <c r="E113" s="5"/>
      <c r="F113" s="5"/>
    </row>
    <row r="114" spans="1:6" x14ac:dyDescent="0.25">
      <c r="A114" s="5">
        <v>1.4099999999999899</v>
      </c>
      <c r="B114" s="28">
        <v>1.51</v>
      </c>
      <c r="C114" s="5"/>
      <c r="D114" s="5"/>
      <c r="E114" s="5"/>
      <c r="F114" s="5"/>
    </row>
    <row r="115" spans="1:6" x14ac:dyDescent="0.25">
      <c r="A115" s="5">
        <v>1.4199999999999899</v>
      </c>
      <c r="B115" s="28">
        <v>1.52</v>
      </c>
      <c r="C115" s="5"/>
      <c r="D115" s="5"/>
      <c r="E115" s="5"/>
      <c r="F115" s="5"/>
    </row>
    <row r="116" spans="1:6" x14ac:dyDescent="0.25">
      <c r="A116" s="5">
        <v>1.4299999999999899</v>
      </c>
      <c r="B116" s="28">
        <v>1.53</v>
      </c>
      <c r="C116" s="5"/>
      <c r="D116" s="5"/>
      <c r="E116" s="5"/>
      <c r="F116" s="5"/>
    </row>
    <row r="117" spans="1:6" x14ac:dyDescent="0.25">
      <c r="A117" s="5">
        <v>1.43999999999999</v>
      </c>
      <c r="B117" s="28">
        <v>1.54</v>
      </c>
      <c r="C117" s="5"/>
      <c r="D117" s="5"/>
      <c r="E117" s="5"/>
      <c r="F117" s="5"/>
    </row>
    <row r="118" spans="1:6" x14ac:dyDescent="0.25">
      <c r="A118" s="5">
        <v>1.44999999999999</v>
      </c>
      <c r="B118" s="28">
        <v>1.55</v>
      </c>
      <c r="C118" s="5"/>
      <c r="D118" s="5"/>
      <c r="E118" s="5"/>
      <c r="F118" s="5"/>
    </row>
    <row r="119" spans="1:6" x14ac:dyDescent="0.25">
      <c r="A119" s="5">
        <v>1.45999999999999</v>
      </c>
      <c r="B119" s="28">
        <v>1.56</v>
      </c>
      <c r="C119" s="5"/>
      <c r="D119" s="5"/>
      <c r="E119" s="5"/>
      <c r="F119" s="5"/>
    </row>
    <row r="120" spans="1:6" x14ac:dyDescent="0.25">
      <c r="A120" s="5">
        <v>1.46999999999999</v>
      </c>
      <c r="B120" s="28">
        <v>1.57</v>
      </c>
      <c r="C120" s="5"/>
      <c r="D120" s="5"/>
      <c r="E120" s="5"/>
      <c r="F120" s="5"/>
    </row>
    <row r="121" spans="1:6" x14ac:dyDescent="0.25">
      <c r="A121" s="5">
        <v>1.47999999999999</v>
      </c>
      <c r="B121" s="28">
        <v>1.58</v>
      </c>
      <c r="C121" s="5"/>
      <c r="D121" s="5"/>
      <c r="E121" s="5"/>
      <c r="F121" s="5"/>
    </row>
    <row r="122" spans="1:6" x14ac:dyDescent="0.25">
      <c r="A122" s="5">
        <v>1.48999999999999</v>
      </c>
      <c r="B122" s="28">
        <v>1.59</v>
      </c>
      <c r="C122" s="5"/>
      <c r="D122" s="5"/>
      <c r="E122" s="5"/>
      <c r="F122" s="5"/>
    </row>
    <row r="123" spans="1:6" x14ac:dyDescent="0.25">
      <c r="A123" s="5">
        <v>1.49999999999999</v>
      </c>
      <c r="B123" s="28">
        <v>1.6</v>
      </c>
      <c r="C123" s="5"/>
      <c r="D123" s="5"/>
      <c r="E123" s="5"/>
      <c r="F123" s="5"/>
    </row>
    <row r="124" spans="1:6" x14ac:dyDescent="0.25">
      <c r="A124" s="5">
        <v>1.50999999999999</v>
      </c>
      <c r="B124" s="28">
        <v>1.61</v>
      </c>
      <c r="C124" s="5"/>
      <c r="D124" s="5"/>
      <c r="E124" s="5"/>
      <c r="F124" s="5"/>
    </row>
    <row r="125" spans="1:6" x14ac:dyDescent="0.25">
      <c r="A125" s="5">
        <v>1.51999999999999</v>
      </c>
      <c r="B125" s="28">
        <v>1.62</v>
      </c>
      <c r="C125" s="5"/>
      <c r="D125" s="5"/>
      <c r="E125" s="5"/>
      <c r="F125" s="5"/>
    </row>
    <row r="126" spans="1:6" x14ac:dyDescent="0.25">
      <c r="A126" s="5">
        <v>1.52999999999999</v>
      </c>
      <c r="B126" s="28">
        <v>1.63</v>
      </c>
      <c r="C126" s="5"/>
      <c r="D126" s="5"/>
      <c r="E126" s="5"/>
      <c r="F126" s="5"/>
    </row>
    <row r="127" spans="1:6" x14ac:dyDescent="0.25">
      <c r="A127" s="5">
        <v>1.53999999999999</v>
      </c>
      <c r="B127" s="28">
        <v>1.64</v>
      </c>
      <c r="C127" s="5"/>
      <c r="D127" s="5"/>
      <c r="E127" s="5"/>
      <c r="F127" s="5"/>
    </row>
    <row r="128" spans="1:6" x14ac:dyDescent="0.25">
      <c r="A128" s="5">
        <v>1.5499999999999901</v>
      </c>
      <c r="B128" s="28">
        <v>1.65</v>
      </c>
      <c r="C128" s="5"/>
      <c r="D128" s="5"/>
      <c r="E128" s="5"/>
      <c r="F128" s="5"/>
    </row>
    <row r="129" spans="1:6" x14ac:dyDescent="0.25">
      <c r="A129" s="5">
        <v>1.5599999999999901</v>
      </c>
      <c r="B129" s="28">
        <v>1.66</v>
      </c>
      <c r="C129" s="5"/>
      <c r="D129" s="5"/>
      <c r="E129" s="5"/>
      <c r="F129" s="5"/>
    </row>
    <row r="130" spans="1:6" x14ac:dyDescent="0.25">
      <c r="A130" s="5">
        <v>1.5699999999999901</v>
      </c>
      <c r="B130" s="28">
        <v>1.67</v>
      </c>
      <c r="C130" s="5"/>
      <c r="D130" s="5"/>
      <c r="E130" s="5"/>
      <c r="F130" s="5"/>
    </row>
    <row r="131" spans="1:6" x14ac:dyDescent="0.25">
      <c r="A131" s="5">
        <v>1.5799999999999901</v>
      </c>
      <c r="B131" s="28">
        <v>1.68</v>
      </c>
      <c r="C131" s="5"/>
      <c r="D131" s="5"/>
      <c r="E131" s="5"/>
      <c r="F131" s="5"/>
    </row>
    <row r="132" spans="1:6" x14ac:dyDescent="0.25">
      <c r="A132" s="5">
        <v>1.5899999999999901</v>
      </c>
      <c r="B132" s="28">
        <v>1.69</v>
      </c>
      <c r="C132" s="5"/>
      <c r="D132" s="5"/>
      <c r="E132" s="5"/>
      <c r="F132" s="5"/>
    </row>
    <row r="133" spans="1:6" x14ac:dyDescent="0.25">
      <c r="A133" s="5">
        <v>1.5999999999999901</v>
      </c>
      <c r="B133" s="28">
        <v>1.7</v>
      </c>
      <c r="C133" s="5"/>
      <c r="D133" s="5"/>
      <c r="E133" s="5"/>
      <c r="F133" s="5"/>
    </row>
    <row r="134" spans="1:6" x14ac:dyDescent="0.25">
      <c r="A134" s="5">
        <v>1.6099999999999901</v>
      </c>
      <c r="B134" s="28">
        <v>1.71</v>
      </c>
      <c r="C134" s="5"/>
      <c r="D134" s="5"/>
      <c r="E134" s="5"/>
      <c r="F134" s="5"/>
    </row>
    <row r="135" spans="1:6" x14ac:dyDescent="0.25">
      <c r="A135" s="5">
        <v>1.6199999999999899</v>
      </c>
      <c r="B135" s="28">
        <v>1.72</v>
      </c>
      <c r="C135" s="5"/>
      <c r="D135" s="5"/>
      <c r="E135" s="5"/>
      <c r="F135" s="5"/>
    </row>
    <row r="136" spans="1:6" x14ac:dyDescent="0.25">
      <c r="A136" s="5">
        <v>1.6299999999999899</v>
      </c>
      <c r="B136" s="28">
        <v>1.73</v>
      </c>
      <c r="C136" s="5"/>
      <c r="D136" s="5"/>
      <c r="E136" s="5"/>
      <c r="F136" s="5"/>
    </row>
    <row r="137" spans="1:6" x14ac:dyDescent="0.25">
      <c r="A137" s="5">
        <v>1.6399999999999899</v>
      </c>
      <c r="B137" s="28">
        <v>1.74</v>
      </c>
      <c r="C137" s="5"/>
      <c r="D137" s="5"/>
      <c r="E137" s="5"/>
      <c r="F137" s="5"/>
    </row>
    <row r="138" spans="1:6" x14ac:dyDescent="0.25">
      <c r="A138" s="5">
        <v>1.6499999999999899</v>
      </c>
      <c r="B138" s="28">
        <v>1.75</v>
      </c>
      <c r="C138" s="5"/>
      <c r="D138" s="5"/>
      <c r="E138" s="5"/>
      <c r="F138" s="5"/>
    </row>
    <row r="139" spans="1:6" x14ac:dyDescent="0.25">
      <c r="A139" s="5">
        <v>1.6599999999999899</v>
      </c>
      <c r="B139" s="28">
        <v>1.76</v>
      </c>
      <c r="C139" s="5"/>
      <c r="D139" s="5"/>
      <c r="E139" s="5"/>
      <c r="F139" s="5"/>
    </row>
    <row r="140" spans="1:6" x14ac:dyDescent="0.25">
      <c r="A140" s="5">
        <v>1.6699999999999899</v>
      </c>
      <c r="B140" s="28">
        <v>1.77</v>
      </c>
      <c r="C140" s="5"/>
      <c r="D140" s="5"/>
      <c r="E140" s="5"/>
      <c r="F140" s="5"/>
    </row>
    <row r="141" spans="1:6" x14ac:dyDescent="0.25">
      <c r="A141" s="5">
        <v>1.6799999999999899</v>
      </c>
      <c r="B141" s="28">
        <v>1.78</v>
      </c>
      <c r="C141" s="5"/>
      <c r="D141" s="5"/>
      <c r="E141" s="5"/>
      <c r="F141" s="5"/>
    </row>
    <row r="142" spans="1:6" x14ac:dyDescent="0.25">
      <c r="A142" s="5">
        <v>1.68999999999999</v>
      </c>
      <c r="B142" s="28">
        <v>1.79</v>
      </c>
      <c r="C142" s="5"/>
      <c r="D142" s="5"/>
      <c r="E142" s="5"/>
      <c r="F142" s="5"/>
    </row>
    <row r="143" spans="1:6" x14ac:dyDescent="0.25">
      <c r="A143" s="5">
        <v>1.69999999999999</v>
      </c>
      <c r="B143" s="28">
        <v>1.8</v>
      </c>
      <c r="C143" s="5"/>
      <c r="D143" s="5"/>
      <c r="E143" s="5"/>
      <c r="F143" s="5"/>
    </row>
    <row r="144" spans="1:6" x14ac:dyDescent="0.25">
      <c r="A144" s="5">
        <v>1.70999999999999</v>
      </c>
      <c r="B144" s="28">
        <v>1.81</v>
      </c>
      <c r="C144" s="5"/>
      <c r="D144" s="5"/>
      <c r="E144" s="5"/>
      <c r="F144" s="5"/>
    </row>
    <row r="145" spans="1:6" x14ac:dyDescent="0.25">
      <c r="A145" s="5">
        <v>1.71999999999999</v>
      </c>
      <c r="B145" s="28">
        <v>1.82</v>
      </c>
      <c r="C145" s="5"/>
      <c r="D145" s="5"/>
      <c r="E145" s="5"/>
      <c r="F145" s="5"/>
    </row>
    <row r="146" spans="1:6" x14ac:dyDescent="0.25">
      <c r="A146" s="5">
        <v>1.72999999999999</v>
      </c>
      <c r="B146" s="28">
        <v>1.83</v>
      </c>
      <c r="C146" s="5"/>
      <c r="D146" s="5"/>
      <c r="E146" s="5"/>
      <c r="F146" s="5"/>
    </row>
    <row r="147" spans="1:6" x14ac:dyDescent="0.25">
      <c r="A147" s="5">
        <v>1.73999999999999</v>
      </c>
      <c r="B147" s="28">
        <v>1.84</v>
      </c>
      <c r="C147" s="5"/>
      <c r="D147" s="5"/>
      <c r="E147" s="5"/>
      <c r="F147" s="5"/>
    </row>
    <row r="148" spans="1:6" x14ac:dyDescent="0.25">
      <c r="A148" s="5">
        <v>1.74999999999999</v>
      </c>
      <c r="B148" s="28">
        <v>1.85</v>
      </c>
      <c r="C148" s="5"/>
      <c r="D148" s="5"/>
      <c r="E148" s="5"/>
      <c r="F148" s="5"/>
    </row>
    <row r="149" spans="1:6" x14ac:dyDescent="0.25">
      <c r="A149" s="5">
        <v>1.75999999999999</v>
      </c>
      <c r="B149" s="28">
        <v>1.86</v>
      </c>
      <c r="C149" s="5"/>
      <c r="D149" s="5"/>
      <c r="E149" s="5"/>
      <c r="F149" s="5"/>
    </row>
    <row r="150" spans="1:6" x14ac:dyDescent="0.25">
      <c r="A150" s="5">
        <v>1.76999999999999</v>
      </c>
      <c r="B150" s="28">
        <v>1.87</v>
      </c>
      <c r="C150" s="5"/>
      <c r="D150" s="5"/>
      <c r="E150" s="5"/>
      <c r="F150" s="5"/>
    </row>
    <row r="151" spans="1:6" x14ac:dyDescent="0.25">
      <c r="A151" s="5">
        <v>1.77999999999999</v>
      </c>
      <c r="B151" s="28">
        <v>1.88</v>
      </c>
      <c r="C151" s="5"/>
      <c r="D151" s="5"/>
      <c r="E151" s="5"/>
      <c r="F151" s="5"/>
    </row>
    <row r="152" spans="1:6" x14ac:dyDescent="0.25">
      <c r="A152" s="5">
        <v>1.78999999999999</v>
      </c>
      <c r="B152" s="28">
        <v>1.89</v>
      </c>
      <c r="C152" s="5"/>
      <c r="D152" s="5"/>
      <c r="E152" s="5"/>
      <c r="F152" s="5"/>
    </row>
    <row r="153" spans="1:6" x14ac:dyDescent="0.25">
      <c r="A153" s="5">
        <v>1.7999999999999901</v>
      </c>
      <c r="B153" s="28">
        <v>1.9</v>
      </c>
      <c r="C153" s="5"/>
      <c r="D153" s="5"/>
      <c r="E153" s="5"/>
      <c r="F153" s="5"/>
    </row>
    <row r="154" spans="1:6" x14ac:dyDescent="0.25">
      <c r="A154" s="5">
        <v>1.8099999999999901</v>
      </c>
      <c r="B154" s="28">
        <v>1.91</v>
      </c>
      <c r="C154" s="5"/>
      <c r="D154" s="5"/>
      <c r="E154" s="5"/>
      <c r="F154" s="5"/>
    </row>
    <row r="155" spans="1:6" x14ac:dyDescent="0.25">
      <c r="A155" s="5">
        <v>1.8199999999999901</v>
      </c>
      <c r="B155" s="28">
        <v>1.92</v>
      </c>
      <c r="C155" s="5"/>
      <c r="D155" s="5"/>
      <c r="E155" s="5"/>
      <c r="F155" s="5"/>
    </row>
    <row r="156" spans="1:6" x14ac:dyDescent="0.25">
      <c r="A156" s="5">
        <v>1.8299999999999901</v>
      </c>
      <c r="B156" s="28">
        <v>1.93</v>
      </c>
      <c r="C156" s="5"/>
      <c r="D156" s="5"/>
      <c r="E156" s="5"/>
      <c r="F156" s="5"/>
    </row>
    <row r="157" spans="1:6" x14ac:dyDescent="0.25">
      <c r="A157" s="5">
        <v>1.8399999999999901</v>
      </c>
      <c r="B157" s="28">
        <v>1.94</v>
      </c>
      <c r="C157" s="5"/>
      <c r="D157" s="5"/>
      <c r="E157" s="5"/>
      <c r="F157" s="5"/>
    </row>
    <row r="158" spans="1:6" x14ac:dyDescent="0.25">
      <c r="A158" s="5">
        <v>1.8499999999999901</v>
      </c>
      <c r="B158" s="28">
        <v>1.95</v>
      </c>
      <c r="C158" s="5"/>
      <c r="D158" s="5"/>
      <c r="E158" s="5"/>
      <c r="F158" s="5"/>
    </row>
    <row r="159" spans="1:6" x14ac:dyDescent="0.25">
      <c r="A159" s="5">
        <v>1.8599999999999901</v>
      </c>
      <c r="B159" s="28">
        <v>1.96</v>
      </c>
      <c r="C159" s="5"/>
      <c r="D159" s="5"/>
      <c r="E159" s="5"/>
      <c r="F159" s="5"/>
    </row>
    <row r="160" spans="1:6" x14ac:dyDescent="0.25">
      <c r="A160" s="5">
        <v>1.8699999999999899</v>
      </c>
      <c r="B160" s="28">
        <v>1.97</v>
      </c>
      <c r="C160" s="5"/>
      <c r="D160" s="5"/>
      <c r="E160" s="5"/>
      <c r="F160" s="5"/>
    </row>
    <row r="161" spans="1:6" x14ac:dyDescent="0.25">
      <c r="A161" s="5">
        <v>1.8799999999999899</v>
      </c>
      <c r="B161" s="28">
        <v>1.98</v>
      </c>
      <c r="C161" s="5"/>
      <c r="D161" s="5"/>
      <c r="E161" s="5"/>
      <c r="F161" s="5"/>
    </row>
    <row r="162" spans="1:6" x14ac:dyDescent="0.25">
      <c r="A162" s="5">
        <v>1.8899999999999899</v>
      </c>
      <c r="B162" s="28">
        <v>1.99</v>
      </c>
      <c r="C162" s="5"/>
      <c r="D162" s="5"/>
      <c r="E162" s="5"/>
      <c r="F162" s="5"/>
    </row>
    <row r="163" spans="1:6" x14ac:dyDescent="0.25">
      <c r="A163" s="5">
        <v>1.8999999999999899</v>
      </c>
      <c r="B163" s="28">
        <v>2</v>
      </c>
      <c r="C163" s="5"/>
      <c r="D163" s="5"/>
      <c r="E163" s="5"/>
      <c r="F163" s="5"/>
    </row>
    <row r="164" spans="1:6" x14ac:dyDescent="0.25">
      <c r="A164" s="5">
        <v>1.9099999999999899</v>
      </c>
      <c r="B164" s="28">
        <v>2.0099999999999998</v>
      </c>
      <c r="C164" s="5"/>
      <c r="D164" s="5"/>
      <c r="E164" s="5"/>
      <c r="F164" s="5"/>
    </row>
    <row r="165" spans="1:6" x14ac:dyDescent="0.25">
      <c r="A165" s="5">
        <v>1.9199999999999899</v>
      </c>
      <c r="B165" s="28">
        <v>2.02</v>
      </c>
      <c r="C165" s="5"/>
      <c r="D165" s="5"/>
      <c r="E165" s="5"/>
      <c r="F165" s="5"/>
    </row>
    <row r="166" spans="1:6" x14ac:dyDescent="0.25">
      <c r="A166" s="5">
        <v>1.9299999999999899</v>
      </c>
      <c r="B166" s="28">
        <v>2.0299999999999998</v>
      </c>
      <c r="C166" s="5"/>
      <c r="D166" s="5"/>
      <c r="E166" s="5"/>
      <c r="F166" s="5"/>
    </row>
    <row r="167" spans="1:6" x14ac:dyDescent="0.25">
      <c r="A167" s="5">
        <v>1.93999999999999</v>
      </c>
      <c r="B167" s="28">
        <v>2.04</v>
      </c>
      <c r="C167" s="5"/>
      <c r="D167" s="5"/>
      <c r="E167" s="5"/>
      <c r="F167" s="5"/>
    </row>
    <row r="168" spans="1:6" x14ac:dyDescent="0.25">
      <c r="A168" s="5">
        <v>1.94999999999999</v>
      </c>
      <c r="B168" s="28">
        <v>2.0499999999999998</v>
      </c>
      <c r="C168" s="5"/>
      <c r="D168" s="5"/>
      <c r="E168" s="5"/>
      <c r="F168" s="5"/>
    </row>
    <row r="169" spans="1:6" x14ac:dyDescent="0.25">
      <c r="A169" s="5">
        <v>1.95999999999999</v>
      </c>
      <c r="B169" s="28">
        <v>2.06</v>
      </c>
      <c r="C169" s="5"/>
      <c r="D169" s="5"/>
      <c r="E169" s="5"/>
      <c r="F169" s="5"/>
    </row>
    <row r="170" spans="1:6" x14ac:dyDescent="0.25">
      <c r="A170" s="5">
        <v>1.96999999999999</v>
      </c>
      <c r="B170" s="28">
        <v>2.0699999999999998</v>
      </c>
      <c r="C170" s="5"/>
      <c r="D170" s="5"/>
      <c r="E170" s="5"/>
      <c r="F170" s="5"/>
    </row>
    <row r="171" spans="1:6" x14ac:dyDescent="0.25">
      <c r="A171" s="5">
        <v>1.97999999999999</v>
      </c>
      <c r="B171" s="28">
        <v>2.08</v>
      </c>
      <c r="C171" s="5"/>
      <c r="D171" s="5"/>
      <c r="E171" s="5"/>
      <c r="F171" s="5"/>
    </row>
    <row r="172" spans="1:6" x14ac:dyDescent="0.25">
      <c r="A172" s="5">
        <v>1.98999999999999</v>
      </c>
      <c r="B172" s="28">
        <v>2.09</v>
      </c>
      <c r="C172" s="5"/>
      <c r="D172" s="5"/>
      <c r="E172" s="5"/>
      <c r="F172" s="5"/>
    </row>
    <row r="173" spans="1:6" x14ac:dyDescent="0.25">
      <c r="A173" s="5">
        <v>1.99999999999999</v>
      </c>
      <c r="B173" s="28">
        <v>2.1</v>
      </c>
      <c r="C173" s="5"/>
      <c r="D173" s="5"/>
      <c r="E173" s="5"/>
      <c r="F173" s="5"/>
    </row>
    <row r="174" spans="1:6" x14ac:dyDescent="0.25">
      <c r="A174" s="5">
        <v>2.00999999999999</v>
      </c>
      <c r="B174" s="28">
        <v>2.11</v>
      </c>
      <c r="C174" s="5"/>
      <c r="D174" s="5"/>
      <c r="E174" s="5"/>
      <c r="F174" s="5"/>
    </row>
    <row r="175" spans="1:6" x14ac:dyDescent="0.25">
      <c r="A175" s="5">
        <v>2.0199999999999898</v>
      </c>
      <c r="B175" s="28">
        <v>2.12</v>
      </c>
      <c r="C175" s="5"/>
      <c r="D175" s="5"/>
      <c r="E175" s="5"/>
      <c r="F175" s="5"/>
    </row>
    <row r="176" spans="1:6" x14ac:dyDescent="0.25">
      <c r="A176" s="5">
        <v>2.02999999999999</v>
      </c>
      <c r="B176" s="28">
        <v>2.13</v>
      </c>
      <c r="C176" s="5"/>
      <c r="D176" s="5"/>
      <c r="E176" s="5"/>
      <c r="F176" s="5"/>
    </row>
    <row r="177" spans="1:6" x14ac:dyDescent="0.25">
      <c r="A177" s="5">
        <v>2.0399999999999898</v>
      </c>
      <c r="B177" s="28">
        <v>2.14</v>
      </c>
      <c r="C177" s="5"/>
      <c r="D177" s="5"/>
      <c r="E177" s="5"/>
      <c r="F177" s="5"/>
    </row>
    <row r="178" spans="1:6" x14ac:dyDescent="0.25">
      <c r="A178" s="5">
        <v>2.0499999999999901</v>
      </c>
      <c r="B178" s="28">
        <v>2.15</v>
      </c>
      <c r="C178" s="5"/>
      <c r="D178" s="5"/>
      <c r="E178" s="5"/>
      <c r="F178" s="5"/>
    </row>
    <row r="179" spans="1:6" x14ac:dyDescent="0.25">
      <c r="A179" s="5">
        <v>2.0599999999999898</v>
      </c>
      <c r="B179" s="28">
        <v>2.16</v>
      </c>
      <c r="C179" s="5"/>
      <c r="D179" s="5"/>
      <c r="E179" s="5"/>
      <c r="F179" s="5"/>
    </row>
    <row r="180" spans="1:6" x14ac:dyDescent="0.25">
      <c r="A180" s="5">
        <v>2.0699999999999901</v>
      </c>
      <c r="B180" s="28">
        <v>2.17</v>
      </c>
      <c r="C180" s="5"/>
      <c r="D180" s="5"/>
      <c r="E180" s="5"/>
      <c r="F180" s="5"/>
    </row>
    <row r="181" spans="1:6" x14ac:dyDescent="0.25">
      <c r="A181" s="5">
        <v>2.0799999999999899</v>
      </c>
      <c r="B181" s="28">
        <v>2.1800000000000002</v>
      </c>
      <c r="C181" s="5"/>
      <c r="D181" s="5"/>
      <c r="E181" s="5"/>
      <c r="F181" s="5"/>
    </row>
    <row r="182" spans="1:6" x14ac:dyDescent="0.25">
      <c r="A182" s="5">
        <v>2.0899999999999901</v>
      </c>
      <c r="B182" s="28">
        <v>2.19</v>
      </c>
      <c r="C182" s="5"/>
      <c r="D182" s="5"/>
      <c r="E182" s="5"/>
      <c r="F182" s="5"/>
    </row>
    <row r="183" spans="1:6" x14ac:dyDescent="0.25">
      <c r="A183" s="5">
        <v>2.0999999999999899</v>
      </c>
      <c r="B183" s="28">
        <v>2.2000000000000002</v>
      </c>
      <c r="C183" s="5"/>
      <c r="D183" s="5"/>
      <c r="E183" s="5"/>
      <c r="F183" s="5"/>
    </row>
    <row r="184" spans="1:6" x14ac:dyDescent="0.25">
      <c r="A184" s="5">
        <v>2.1099999999999901</v>
      </c>
      <c r="B184" s="28">
        <v>2.21</v>
      </c>
      <c r="C184" s="5"/>
      <c r="D184" s="5"/>
      <c r="E184" s="5"/>
      <c r="F184" s="5"/>
    </row>
    <row r="185" spans="1:6" x14ac:dyDescent="0.25">
      <c r="A185" s="5">
        <v>2.1199999999999899</v>
      </c>
      <c r="B185" s="28">
        <v>2.2200000000000002</v>
      </c>
      <c r="C185" s="5"/>
      <c r="D185" s="5"/>
      <c r="E185" s="5"/>
      <c r="F185" s="5"/>
    </row>
    <row r="186" spans="1:6" x14ac:dyDescent="0.25">
      <c r="A186" s="5">
        <v>2.1299999999999901</v>
      </c>
      <c r="B186" s="28">
        <v>2.23</v>
      </c>
      <c r="C186" s="5"/>
      <c r="D186" s="5"/>
      <c r="E186" s="5"/>
      <c r="F186" s="5"/>
    </row>
    <row r="187" spans="1:6" x14ac:dyDescent="0.25">
      <c r="A187" s="5">
        <v>2.1399999999999899</v>
      </c>
      <c r="B187" s="28">
        <v>2.2400000000000002</v>
      </c>
      <c r="C187" s="5"/>
      <c r="D187" s="5"/>
      <c r="E187" s="5"/>
      <c r="F187" s="5"/>
    </row>
    <row r="188" spans="1:6" x14ac:dyDescent="0.25">
      <c r="A188" s="5">
        <v>2.1499999999999901</v>
      </c>
      <c r="B188" s="28">
        <v>2.25</v>
      </c>
      <c r="C188" s="5"/>
      <c r="D188" s="5"/>
      <c r="E188" s="5"/>
      <c r="F188" s="5"/>
    </row>
    <row r="189" spans="1:6" x14ac:dyDescent="0.25">
      <c r="A189" s="5">
        <v>2.1599999999999802</v>
      </c>
      <c r="B189" s="28">
        <v>2.2599999999999998</v>
      </c>
      <c r="C189" s="5"/>
      <c r="D189" s="5"/>
      <c r="E189" s="5"/>
      <c r="F189" s="5"/>
    </row>
    <row r="190" spans="1:6" x14ac:dyDescent="0.25">
      <c r="A190" s="5">
        <v>2.1699999999999799</v>
      </c>
      <c r="B190" s="28">
        <v>2.27</v>
      </c>
      <c r="C190" s="5"/>
      <c r="D190" s="5"/>
      <c r="E190" s="5"/>
      <c r="F190" s="5"/>
    </row>
    <row r="191" spans="1:6" x14ac:dyDescent="0.25">
      <c r="A191" s="5">
        <v>2.1799999999999802</v>
      </c>
      <c r="B191" s="28">
        <v>2.2799999999999998</v>
      </c>
      <c r="C191" s="5"/>
      <c r="D191" s="5"/>
      <c r="E191" s="5"/>
      <c r="F191" s="5"/>
    </row>
    <row r="192" spans="1:6" x14ac:dyDescent="0.25">
      <c r="A192" s="5">
        <v>2.18999999999998</v>
      </c>
      <c r="B192" s="28">
        <v>2.29</v>
      </c>
      <c r="C192" s="5"/>
      <c r="D192" s="5"/>
      <c r="E192" s="5"/>
      <c r="F192" s="5"/>
    </row>
    <row r="193" spans="1:6" x14ac:dyDescent="0.25">
      <c r="A193" s="5">
        <v>2.1999999999999802</v>
      </c>
      <c r="B193" s="28">
        <v>2.2999999999999998</v>
      </c>
      <c r="C193" s="5"/>
      <c r="D193" s="5"/>
      <c r="E193" s="5"/>
      <c r="F193" s="5"/>
    </row>
    <row r="194" spans="1:6" x14ac:dyDescent="0.25">
      <c r="A194" s="5">
        <v>2.20999999999998</v>
      </c>
      <c r="B194" s="28">
        <v>2.31</v>
      </c>
      <c r="C194" s="5"/>
      <c r="D194" s="5"/>
      <c r="E194" s="5"/>
      <c r="F194" s="5"/>
    </row>
    <row r="195" spans="1:6" x14ac:dyDescent="0.25">
      <c r="A195" s="5">
        <v>2.2199999999999802</v>
      </c>
      <c r="B195" s="28">
        <v>2.3199999999999998</v>
      </c>
      <c r="C195" s="5"/>
      <c r="D195" s="5"/>
      <c r="E195" s="5"/>
      <c r="F195" s="5"/>
    </row>
    <row r="196" spans="1:6" x14ac:dyDescent="0.25">
      <c r="A196" s="5">
        <v>2.22999999999998</v>
      </c>
      <c r="B196" s="28">
        <v>2.33</v>
      </c>
      <c r="C196" s="5"/>
      <c r="D196" s="5"/>
      <c r="E196" s="5"/>
      <c r="F196" s="5"/>
    </row>
    <row r="197" spans="1:6" x14ac:dyDescent="0.25">
      <c r="A197" s="5">
        <v>2.2399999999999798</v>
      </c>
      <c r="B197" s="28">
        <v>2.34</v>
      </c>
      <c r="C197" s="5"/>
      <c r="D197" s="5"/>
      <c r="E197" s="5"/>
      <c r="F197" s="5"/>
    </row>
    <row r="198" spans="1:6" x14ac:dyDescent="0.25">
      <c r="A198" s="5">
        <v>2.24999999999998</v>
      </c>
      <c r="B198" s="28">
        <v>2.35</v>
      </c>
      <c r="C198" s="5"/>
      <c r="D198" s="5"/>
      <c r="E198" s="5"/>
      <c r="F198" s="5"/>
    </row>
    <row r="199" spans="1:6" x14ac:dyDescent="0.25">
      <c r="A199" s="5">
        <v>2.2599999999999798</v>
      </c>
      <c r="B199" s="28">
        <v>2.36</v>
      </c>
      <c r="C199" s="5"/>
      <c r="D199" s="5"/>
      <c r="E199" s="5"/>
      <c r="F199" s="5"/>
    </row>
    <row r="200" spans="1:6" x14ac:dyDescent="0.25">
      <c r="A200" s="5">
        <v>2.26999999999998</v>
      </c>
      <c r="B200" s="28">
        <v>2.37</v>
      </c>
      <c r="C200" s="5"/>
      <c r="D200" s="5"/>
      <c r="E200" s="5"/>
      <c r="F200" s="5"/>
    </row>
    <row r="201" spans="1:6" x14ac:dyDescent="0.25">
      <c r="A201" s="5">
        <v>2.2799999999999798</v>
      </c>
      <c r="B201" s="28">
        <v>2.38</v>
      </c>
      <c r="C201" s="5"/>
      <c r="D201" s="5"/>
      <c r="E201" s="5"/>
      <c r="F201" s="5"/>
    </row>
    <row r="202" spans="1:6" x14ac:dyDescent="0.25">
      <c r="A202" s="5">
        <v>2.2899999999999801</v>
      </c>
      <c r="B202" s="28">
        <v>2.39</v>
      </c>
      <c r="C202" s="5"/>
      <c r="D202" s="5"/>
      <c r="E202" s="5"/>
      <c r="F202" s="5"/>
    </row>
    <row r="203" spans="1:6" x14ac:dyDescent="0.25">
      <c r="A203" s="5">
        <v>2.2999999999999798</v>
      </c>
      <c r="B203" s="28">
        <v>2.4</v>
      </c>
      <c r="C203" s="5"/>
      <c r="D203" s="5"/>
      <c r="E203" s="5"/>
      <c r="F203" s="5"/>
    </row>
    <row r="204" spans="1:6" x14ac:dyDescent="0.25">
      <c r="A204" s="5">
        <v>2.3099999999999801</v>
      </c>
      <c r="B204" s="28">
        <v>2.41</v>
      </c>
      <c r="C204" s="5"/>
      <c r="D204" s="5"/>
      <c r="E204" s="5"/>
      <c r="F204" s="5"/>
    </row>
    <row r="205" spans="1:6" x14ac:dyDescent="0.25">
      <c r="A205" s="5">
        <v>2.3199999999999799</v>
      </c>
      <c r="B205" s="28">
        <v>2.42</v>
      </c>
      <c r="C205" s="5"/>
      <c r="D205" s="5"/>
      <c r="E205" s="5"/>
      <c r="F205" s="5"/>
    </row>
    <row r="206" spans="1:6" x14ac:dyDescent="0.25">
      <c r="A206" s="5">
        <v>2.3299999999999801</v>
      </c>
      <c r="B206" s="28">
        <v>2.4300000000000002</v>
      </c>
      <c r="C206" s="5"/>
      <c r="D206" s="5"/>
      <c r="E206" s="5"/>
      <c r="F206" s="5"/>
    </row>
    <row r="207" spans="1:6" x14ac:dyDescent="0.25">
      <c r="A207" s="5">
        <v>2.3399999999999799</v>
      </c>
      <c r="B207" s="28">
        <v>2.44</v>
      </c>
      <c r="C207" s="5"/>
      <c r="D207" s="5"/>
      <c r="E207" s="5"/>
      <c r="F207" s="5"/>
    </row>
    <row r="208" spans="1:6" x14ac:dyDescent="0.25">
      <c r="A208" s="5">
        <v>2.3499999999999801</v>
      </c>
      <c r="B208" s="28">
        <v>2.4500000000000002</v>
      </c>
      <c r="C208" s="5"/>
      <c r="D208" s="5"/>
      <c r="E208" s="5"/>
      <c r="F208" s="5"/>
    </row>
    <row r="209" spans="1:6" x14ac:dyDescent="0.25">
      <c r="A209" s="5">
        <v>2.3599999999999799</v>
      </c>
      <c r="B209" s="28">
        <v>2.46</v>
      </c>
      <c r="C209" s="5"/>
      <c r="D209" s="5"/>
      <c r="E209" s="5"/>
      <c r="F209" s="5"/>
    </row>
    <row r="210" spans="1:6" x14ac:dyDescent="0.25">
      <c r="A210" s="5">
        <v>2.3699999999999801</v>
      </c>
      <c r="B210" s="28">
        <v>2.4700000000000002</v>
      </c>
      <c r="C210" s="5"/>
      <c r="D210" s="5"/>
      <c r="E210" s="5"/>
      <c r="F210" s="5"/>
    </row>
    <row r="211" spans="1:6" x14ac:dyDescent="0.25">
      <c r="A211" s="5">
        <v>2.3799999999999799</v>
      </c>
      <c r="B211" s="28">
        <v>2.48</v>
      </c>
      <c r="C211" s="5"/>
      <c r="D211" s="5"/>
      <c r="E211" s="5"/>
      <c r="F211" s="5"/>
    </row>
    <row r="212" spans="1:6" x14ac:dyDescent="0.25">
      <c r="A212" s="5">
        <v>2.3899999999999801</v>
      </c>
      <c r="B212" s="28">
        <v>2.4900000000000002</v>
      </c>
      <c r="C212" s="5"/>
      <c r="D212" s="5"/>
      <c r="E212" s="5"/>
      <c r="F212" s="5"/>
    </row>
    <row r="213" spans="1:6" x14ac:dyDescent="0.25">
      <c r="A213" s="5">
        <v>2.3999999999999799</v>
      </c>
      <c r="B213" s="28">
        <v>2.5</v>
      </c>
      <c r="C213" s="5"/>
      <c r="D213" s="5"/>
      <c r="E213" s="5"/>
      <c r="F213" s="5"/>
    </row>
    <row r="214" spans="1:6" x14ac:dyDescent="0.25">
      <c r="A214" s="5">
        <v>2.4099999999999802</v>
      </c>
      <c r="B214" s="28">
        <v>2.5099999999999998</v>
      </c>
      <c r="C214" s="5"/>
      <c r="D214" s="5"/>
      <c r="E214" s="5"/>
      <c r="F214" s="5"/>
    </row>
    <row r="215" spans="1:6" x14ac:dyDescent="0.25">
      <c r="A215" s="5">
        <v>2.4199999999999799</v>
      </c>
      <c r="B215" s="28">
        <v>2.52</v>
      </c>
      <c r="C215" s="5"/>
      <c r="D215" s="5"/>
      <c r="E215" s="5"/>
      <c r="F215" s="5"/>
    </row>
    <row r="216" spans="1:6" x14ac:dyDescent="0.25">
      <c r="A216" s="5">
        <v>2.4299999999999802</v>
      </c>
      <c r="B216" s="28">
        <v>2.5299999999999998</v>
      </c>
      <c r="C216" s="5"/>
      <c r="D216" s="5"/>
      <c r="E216" s="5"/>
      <c r="F216" s="5"/>
    </row>
    <row r="217" spans="1:6" x14ac:dyDescent="0.25">
      <c r="A217" s="5">
        <v>2.43999999999998</v>
      </c>
      <c r="B217" s="28">
        <v>2.54</v>
      </c>
      <c r="C217" s="5"/>
      <c r="D217" s="5"/>
      <c r="E217" s="5"/>
      <c r="F217" s="5"/>
    </row>
    <row r="218" spans="1:6" x14ac:dyDescent="0.25">
      <c r="A218" s="5">
        <v>2.4499999999999802</v>
      </c>
      <c r="B218" s="28">
        <v>2.5499999999999998</v>
      </c>
      <c r="C218" s="5"/>
      <c r="D218" s="5"/>
      <c r="E218" s="5"/>
      <c r="F218" s="5"/>
    </row>
    <row r="219" spans="1:6" x14ac:dyDescent="0.25">
      <c r="A219" s="5">
        <v>2.45999999999998</v>
      </c>
      <c r="B219" s="28">
        <v>2.56</v>
      </c>
      <c r="C219" s="5"/>
      <c r="D219" s="5"/>
      <c r="E219" s="5"/>
      <c r="F219" s="5"/>
    </row>
    <row r="220" spans="1:6" x14ac:dyDescent="0.25">
      <c r="A220" s="5">
        <v>2.4699999999999802</v>
      </c>
      <c r="B220" s="28">
        <v>2.57</v>
      </c>
      <c r="C220" s="5"/>
      <c r="D220" s="5"/>
      <c r="E220" s="5"/>
      <c r="F220" s="5"/>
    </row>
    <row r="221" spans="1:6" x14ac:dyDescent="0.25">
      <c r="A221" s="5">
        <v>2.47999999999998</v>
      </c>
      <c r="B221" s="28">
        <v>2.58</v>
      </c>
      <c r="C221" s="5"/>
      <c r="D221" s="5"/>
      <c r="E221" s="5"/>
      <c r="F221" s="5"/>
    </row>
    <row r="222" spans="1:6" x14ac:dyDescent="0.25">
      <c r="A222" s="5">
        <v>2.4899999999999798</v>
      </c>
      <c r="B222" s="28">
        <v>2.59</v>
      </c>
      <c r="C222" s="5"/>
      <c r="D222" s="5"/>
      <c r="E222" s="5"/>
      <c r="F222" s="5"/>
    </row>
    <row r="223" spans="1:6" x14ac:dyDescent="0.25">
      <c r="A223" s="5">
        <v>2.49999999999998</v>
      </c>
      <c r="B223" s="28">
        <v>2.6</v>
      </c>
      <c r="C223" s="5"/>
      <c r="D223" s="5"/>
      <c r="E223" s="5"/>
      <c r="F223" s="5"/>
    </row>
    <row r="224" spans="1:6" x14ac:dyDescent="0.25">
      <c r="A224" s="5">
        <v>2.5099999999999798</v>
      </c>
      <c r="B224" s="28">
        <v>2.61</v>
      </c>
      <c r="C224" s="5"/>
      <c r="D224" s="5"/>
      <c r="E224" s="5"/>
      <c r="F224" s="5"/>
    </row>
    <row r="225" spans="1:6" x14ac:dyDescent="0.25">
      <c r="A225" s="5">
        <v>2.51999999999998</v>
      </c>
      <c r="B225" s="28">
        <v>2.62</v>
      </c>
      <c r="C225" s="5"/>
      <c r="D225" s="5"/>
      <c r="E225" s="5"/>
      <c r="F225" s="5"/>
    </row>
    <row r="226" spans="1:6" x14ac:dyDescent="0.25">
      <c r="A226" s="5">
        <v>2.5299999999999798</v>
      </c>
      <c r="B226" s="28">
        <v>2.63</v>
      </c>
      <c r="C226" s="5"/>
      <c r="D226" s="5"/>
      <c r="E226" s="5"/>
      <c r="F226" s="5"/>
    </row>
    <row r="227" spans="1:6" x14ac:dyDescent="0.25">
      <c r="A227" s="5">
        <v>2.5399999999999801</v>
      </c>
      <c r="B227" s="28">
        <v>2.64</v>
      </c>
      <c r="C227" s="5"/>
      <c r="D227" s="5"/>
      <c r="E227" s="5"/>
      <c r="F227" s="5"/>
    </row>
    <row r="228" spans="1:6" x14ac:dyDescent="0.25">
      <c r="A228" s="5">
        <v>2.5499999999999798</v>
      </c>
      <c r="B228" s="28">
        <v>2.65</v>
      </c>
      <c r="C228" s="5"/>
      <c r="D228" s="5"/>
      <c r="E228" s="5"/>
      <c r="F228" s="5"/>
    </row>
    <row r="229" spans="1:6" x14ac:dyDescent="0.25">
      <c r="A229" s="5">
        <v>2.5599999999999801</v>
      </c>
      <c r="B229" s="28">
        <v>2.66</v>
      </c>
      <c r="C229" s="5"/>
      <c r="D229" s="5"/>
      <c r="E229" s="5"/>
      <c r="F229" s="5"/>
    </row>
    <row r="230" spans="1:6" x14ac:dyDescent="0.25">
      <c r="A230" s="5">
        <v>2.5699999999999799</v>
      </c>
      <c r="B230" s="28">
        <v>2.67</v>
      </c>
      <c r="C230" s="5"/>
      <c r="D230" s="5"/>
      <c r="E230" s="5"/>
      <c r="F230" s="5"/>
    </row>
    <row r="231" spans="1:6" x14ac:dyDescent="0.25">
      <c r="A231" s="5">
        <v>2.5799999999999801</v>
      </c>
      <c r="B231" s="28">
        <v>2.68</v>
      </c>
      <c r="C231" s="5"/>
      <c r="D231" s="5"/>
      <c r="E231" s="5"/>
      <c r="F231" s="5"/>
    </row>
    <row r="232" spans="1:6" x14ac:dyDescent="0.25">
      <c r="A232" s="5">
        <v>2.5899999999999799</v>
      </c>
      <c r="B232" s="28">
        <v>2.69</v>
      </c>
      <c r="C232" s="5"/>
      <c r="D232" s="5"/>
      <c r="E232" s="5"/>
      <c r="F232" s="5"/>
    </row>
    <row r="233" spans="1:6" x14ac:dyDescent="0.25">
      <c r="A233" s="5">
        <v>2.5999999999999801</v>
      </c>
      <c r="B233" s="28">
        <v>2.7</v>
      </c>
      <c r="C233" s="5"/>
      <c r="D233" s="5"/>
      <c r="E233" s="5"/>
      <c r="F233" s="5"/>
    </row>
    <row r="234" spans="1:6" x14ac:dyDescent="0.25">
      <c r="A234" s="5">
        <v>2.6099999999999799</v>
      </c>
      <c r="B234" s="28">
        <v>2.71</v>
      </c>
      <c r="C234" s="5"/>
      <c r="D234" s="5"/>
      <c r="E234" s="5"/>
      <c r="F234" s="5"/>
    </row>
    <row r="235" spans="1:6" x14ac:dyDescent="0.25">
      <c r="A235" s="5">
        <v>2.6199999999999801</v>
      </c>
      <c r="B235" s="28">
        <v>2.72</v>
      </c>
      <c r="C235" s="5"/>
      <c r="D235" s="5"/>
      <c r="E235" s="5"/>
      <c r="F235" s="5"/>
    </row>
    <row r="236" spans="1:6" x14ac:dyDescent="0.25">
      <c r="A236" s="5">
        <v>2.6299999999999799</v>
      </c>
      <c r="B236" s="28">
        <v>2.73</v>
      </c>
      <c r="C236" s="5"/>
      <c r="D236" s="5"/>
      <c r="E236" s="5"/>
      <c r="F236" s="5"/>
    </row>
    <row r="237" spans="1:6" x14ac:dyDescent="0.25">
      <c r="A237" s="5">
        <v>2.6399999999999801</v>
      </c>
      <c r="B237" s="28">
        <v>2.74</v>
      </c>
      <c r="C237" s="5"/>
      <c r="D237" s="5"/>
      <c r="E237" s="5"/>
      <c r="F237" s="5"/>
    </row>
    <row r="238" spans="1:6" x14ac:dyDescent="0.25">
      <c r="A238" s="5">
        <v>2.6499999999999799</v>
      </c>
      <c r="B238" s="28">
        <v>2.75</v>
      </c>
      <c r="C238" s="5"/>
      <c r="D238" s="5"/>
      <c r="E238" s="5"/>
      <c r="F238" s="5"/>
    </row>
    <row r="239" spans="1:6" x14ac:dyDescent="0.25">
      <c r="A239" s="5">
        <v>2.6599999999999802</v>
      </c>
      <c r="B239" s="28">
        <v>2.76</v>
      </c>
      <c r="C239" s="5"/>
      <c r="D239" s="5"/>
      <c r="E239" s="5"/>
      <c r="F239" s="5"/>
    </row>
    <row r="240" spans="1:6" x14ac:dyDescent="0.25">
      <c r="A240" s="5">
        <v>2.6699999999999799</v>
      </c>
      <c r="B240" s="28">
        <v>2.77</v>
      </c>
      <c r="C240" s="5"/>
      <c r="D240" s="5"/>
      <c r="E240" s="5"/>
      <c r="F240" s="5"/>
    </row>
    <row r="241" spans="1:6" x14ac:dyDescent="0.25">
      <c r="A241" s="5">
        <v>2.6799999999999802</v>
      </c>
      <c r="B241" s="28">
        <v>2.78</v>
      </c>
      <c r="C241" s="5"/>
      <c r="D241" s="5"/>
      <c r="E241" s="5"/>
      <c r="F241" s="5"/>
    </row>
    <row r="242" spans="1:6" x14ac:dyDescent="0.25">
      <c r="A242" s="5">
        <v>2.68999999999998</v>
      </c>
      <c r="B242" s="28">
        <v>2.79</v>
      </c>
      <c r="C242" s="5"/>
      <c r="D242" s="5"/>
      <c r="E242" s="5"/>
      <c r="F242" s="5"/>
    </row>
    <row r="243" spans="1:6" x14ac:dyDescent="0.25">
      <c r="A243" s="5">
        <v>2.6999999999999802</v>
      </c>
      <c r="B243" s="28">
        <v>2.8</v>
      </c>
      <c r="C243" s="5"/>
      <c r="D243" s="5"/>
      <c r="E243" s="5"/>
      <c r="F243" s="5"/>
    </row>
    <row r="244" spans="1:6" x14ac:dyDescent="0.25">
      <c r="A244" s="5">
        <v>2.70999999999998</v>
      </c>
      <c r="B244" s="28">
        <v>2.81</v>
      </c>
      <c r="C244" s="5"/>
      <c r="D244" s="5"/>
      <c r="E244" s="5"/>
      <c r="F244" s="5"/>
    </row>
    <row r="245" spans="1:6" x14ac:dyDescent="0.25">
      <c r="A245" s="5">
        <v>2.7199999999999802</v>
      </c>
      <c r="B245" s="28">
        <v>2.82</v>
      </c>
      <c r="C245" s="5"/>
      <c r="D245" s="5"/>
      <c r="E245" s="5"/>
      <c r="F245" s="5"/>
    </row>
    <row r="246" spans="1:6" x14ac:dyDescent="0.25">
      <c r="A246" s="5">
        <v>2.72999999999998</v>
      </c>
      <c r="B246" s="28">
        <v>2.83</v>
      </c>
      <c r="C246" s="5"/>
      <c r="D246" s="5"/>
      <c r="E246" s="5"/>
      <c r="F246" s="5"/>
    </row>
    <row r="247" spans="1:6" x14ac:dyDescent="0.25">
      <c r="A247" s="5">
        <v>2.7399999999999798</v>
      </c>
      <c r="B247" s="28">
        <v>2.84</v>
      </c>
      <c r="C247" s="5"/>
      <c r="D247" s="5"/>
      <c r="E247" s="5"/>
      <c r="F247" s="5"/>
    </row>
    <row r="248" spans="1:6" x14ac:dyDescent="0.25">
      <c r="A248" s="5">
        <v>2.74999999999998</v>
      </c>
      <c r="B248" s="28">
        <v>2.85</v>
      </c>
      <c r="C248" s="5"/>
      <c r="D248" s="5"/>
      <c r="E248" s="5"/>
      <c r="F248" s="5"/>
    </row>
    <row r="249" spans="1:6" x14ac:dyDescent="0.25">
      <c r="A249" s="5">
        <v>2.7599999999999798</v>
      </c>
      <c r="B249" s="28">
        <v>2.86</v>
      </c>
      <c r="C249" s="5"/>
      <c r="D249" s="5"/>
      <c r="E249" s="5"/>
      <c r="F249" s="5"/>
    </row>
    <row r="250" spans="1:6" x14ac:dyDescent="0.25">
      <c r="A250" s="5">
        <v>2.76999999999998</v>
      </c>
      <c r="B250" s="28">
        <v>2.87</v>
      </c>
      <c r="C250" s="5"/>
      <c r="D250" s="5"/>
      <c r="E250" s="5"/>
      <c r="F250" s="5"/>
    </row>
    <row r="251" spans="1:6" x14ac:dyDescent="0.25">
      <c r="A251" s="5">
        <v>2.7799999999999798</v>
      </c>
      <c r="B251" s="28">
        <v>2.88</v>
      </c>
      <c r="C251" s="5"/>
      <c r="D251" s="5"/>
      <c r="E251" s="5"/>
      <c r="F251" s="5"/>
    </row>
    <row r="252" spans="1:6" x14ac:dyDescent="0.25">
      <c r="A252" s="5">
        <v>2.7899999999999801</v>
      </c>
      <c r="B252" s="28">
        <v>2.89</v>
      </c>
      <c r="C252" s="5"/>
      <c r="D252" s="5"/>
      <c r="E252" s="5"/>
      <c r="F252" s="5"/>
    </row>
    <row r="253" spans="1:6" x14ac:dyDescent="0.25">
      <c r="A253" s="5">
        <v>2.7999999999999798</v>
      </c>
      <c r="B253" s="28">
        <v>2.9</v>
      </c>
      <c r="C253" s="5"/>
      <c r="D253" s="5"/>
      <c r="E253" s="5"/>
      <c r="F253" s="5"/>
    </row>
    <row r="254" spans="1:6" x14ac:dyDescent="0.25">
      <c r="A254" s="5">
        <v>2.8099999999999801</v>
      </c>
      <c r="B254" s="28">
        <v>2.91</v>
      </c>
      <c r="C254" s="5"/>
      <c r="D254" s="5"/>
      <c r="E254" s="5"/>
      <c r="F254" s="5"/>
    </row>
    <row r="255" spans="1:6" x14ac:dyDescent="0.25">
      <c r="A255" s="5">
        <v>2.8199999999999799</v>
      </c>
      <c r="B255" s="28">
        <v>2.92</v>
      </c>
      <c r="C255" s="5"/>
      <c r="D255" s="5"/>
      <c r="E255" s="5"/>
      <c r="F255" s="5"/>
    </row>
    <row r="256" spans="1:6" x14ac:dyDescent="0.25">
      <c r="A256" s="5">
        <v>2.8299999999999801</v>
      </c>
      <c r="B256" s="28">
        <v>2.93</v>
      </c>
      <c r="C256" s="5"/>
      <c r="D256" s="5"/>
      <c r="E256" s="5"/>
      <c r="F256" s="5"/>
    </row>
    <row r="257" spans="1:6" x14ac:dyDescent="0.25">
      <c r="A257" s="5">
        <v>2.8399999999999799</v>
      </c>
      <c r="B257" s="28">
        <v>2.94</v>
      </c>
      <c r="C257" s="5"/>
      <c r="D257" s="5"/>
      <c r="E257" s="5"/>
      <c r="F257" s="5"/>
    </row>
    <row r="258" spans="1:6" x14ac:dyDescent="0.25">
      <c r="A258" s="5">
        <v>2.8499999999999801</v>
      </c>
      <c r="B258" s="28">
        <v>2.95</v>
      </c>
      <c r="C258" s="5"/>
      <c r="D258" s="5"/>
      <c r="E258" s="5"/>
      <c r="F258" s="5"/>
    </row>
    <row r="259" spans="1:6" x14ac:dyDescent="0.25">
      <c r="A259" s="5">
        <v>2.8599999999999799</v>
      </c>
      <c r="B259" s="28">
        <v>2.96</v>
      </c>
      <c r="C259" s="5"/>
      <c r="D259" s="5"/>
      <c r="E259" s="5"/>
      <c r="F259" s="5"/>
    </row>
    <row r="260" spans="1:6" x14ac:dyDescent="0.25">
      <c r="A260" s="5">
        <v>2.8699999999999801</v>
      </c>
      <c r="B260" s="28">
        <v>2.97</v>
      </c>
      <c r="C260" s="5"/>
      <c r="D260" s="5"/>
      <c r="E260" s="5"/>
      <c r="F260" s="5"/>
    </row>
    <row r="261" spans="1:6" x14ac:dyDescent="0.25">
      <c r="A261" s="5">
        <v>2.8799999999999799</v>
      </c>
      <c r="B261" s="28">
        <v>2.98</v>
      </c>
      <c r="C261" s="5"/>
      <c r="D261" s="5"/>
      <c r="E261" s="5"/>
      <c r="F261" s="5"/>
    </row>
    <row r="262" spans="1:6" x14ac:dyDescent="0.25">
      <c r="A262" s="5">
        <v>2.8899999999999801</v>
      </c>
      <c r="B262" s="28">
        <v>2.99</v>
      </c>
      <c r="C262" s="5"/>
      <c r="D262" s="5"/>
      <c r="E262" s="5"/>
      <c r="F262" s="5"/>
    </row>
    <row r="263" spans="1:6" x14ac:dyDescent="0.25">
      <c r="A263" s="5">
        <v>2.8999999999999799</v>
      </c>
      <c r="B263" s="28">
        <v>3</v>
      </c>
      <c r="C263" s="5"/>
      <c r="D263" s="5"/>
      <c r="E263" s="5"/>
      <c r="F263" s="5"/>
    </row>
    <row r="264" spans="1:6" x14ac:dyDescent="0.25">
      <c r="A264" s="5">
        <v>2.9099999999999802</v>
      </c>
      <c r="B264" s="28">
        <v>3.01</v>
      </c>
      <c r="C264" s="5"/>
      <c r="D264" s="5"/>
      <c r="E264" s="5"/>
      <c r="F264" s="5"/>
    </row>
    <row r="265" spans="1:6" x14ac:dyDescent="0.25">
      <c r="A265" s="5">
        <v>2.9199999999999799</v>
      </c>
      <c r="B265" s="28">
        <v>3.02</v>
      </c>
      <c r="C265" s="5"/>
      <c r="D265" s="5"/>
      <c r="E265" s="5"/>
      <c r="F265" s="5"/>
    </row>
    <row r="266" spans="1:6" x14ac:dyDescent="0.25">
      <c r="A266" s="5">
        <v>2.9299999999999802</v>
      </c>
      <c r="B266" s="28">
        <v>3.03</v>
      </c>
      <c r="C266" s="5"/>
      <c r="D266" s="5"/>
      <c r="E266" s="5"/>
      <c r="F266" s="5"/>
    </row>
    <row r="267" spans="1:6" x14ac:dyDescent="0.25">
      <c r="A267" s="5">
        <v>2.93999999999998</v>
      </c>
      <c r="B267" s="28">
        <v>3.04</v>
      </c>
      <c r="C267" s="5"/>
      <c r="D267" s="5"/>
      <c r="E267" s="5"/>
      <c r="F267" s="5"/>
    </row>
    <row r="268" spans="1:6" x14ac:dyDescent="0.25">
      <c r="A268" s="5">
        <v>2.9499999999999802</v>
      </c>
      <c r="B268" s="28">
        <v>3.05</v>
      </c>
      <c r="C268" s="5"/>
      <c r="D268" s="5"/>
      <c r="E268" s="5"/>
      <c r="F268" s="5"/>
    </row>
    <row r="269" spans="1:6" x14ac:dyDescent="0.25">
      <c r="A269" s="5">
        <v>2.95999999999998</v>
      </c>
      <c r="B269" s="28">
        <v>3.06</v>
      </c>
      <c r="C269" s="5"/>
      <c r="D269" s="5"/>
      <c r="E269" s="5"/>
      <c r="F269" s="5"/>
    </row>
    <row r="270" spans="1:6" x14ac:dyDescent="0.25">
      <c r="A270" s="5">
        <v>2.9699999999999802</v>
      </c>
      <c r="B270" s="28">
        <v>3.07</v>
      </c>
      <c r="C270" s="5"/>
      <c r="D270" s="5"/>
      <c r="E270" s="5"/>
      <c r="F270" s="5"/>
    </row>
    <row r="271" spans="1:6" x14ac:dyDescent="0.25">
      <c r="A271" s="5">
        <v>2.97999999999998</v>
      </c>
      <c r="B271" s="28">
        <v>3.08</v>
      </c>
      <c r="C271" s="5"/>
      <c r="D271" s="5"/>
      <c r="E271" s="5"/>
      <c r="F271" s="5"/>
    </row>
    <row r="272" spans="1:6" x14ac:dyDescent="0.25">
      <c r="A272" s="5">
        <v>2.9899999999999798</v>
      </c>
      <c r="B272" s="28">
        <v>3.09</v>
      </c>
      <c r="C272" s="5"/>
      <c r="D272" s="5"/>
      <c r="E272" s="5"/>
      <c r="F272" s="5"/>
    </row>
    <row r="273" spans="1:6" x14ac:dyDescent="0.25">
      <c r="A273" s="5">
        <v>2.99999999999998</v>
      </c>
      <c r="B273" s="28">
        <v>3.1</v>
      </c>
      <c r="C273" s="5"/>
      <c r="D273" s="5"/>
      <c r="E273" s="5"/>
      <c r="F273" s="5"/>
    </row>
  </sheetData>
  <sheetProtection algorithmName="SHA-512" hashValue="gv6mTT6QIOIWQbDuS4H4lDzx/tLScVUNFPAp+ACao9rJiWASw2V0gaXTlu+QUBYCxyU+VckV+lbNzqNIW/v2eA==" saltValue="B3FNVEQWSiDWx8yu8/jKZg==" spinCount="100000" sheet="1" formatCells="0" formatColumns="0" formatRows="0" insertColumns="0" insertRows="0" insertHyperlinks="0" deleteColumns="0" deleteRows="0" sort="0" autoFilter="0" pivotTables="0"/>
  <mergeCells count="1">
    <mergeCell ref="Q8:T8"/>
  </mergeCells>
  <conditionalFormatting sqref="U10:U13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8740157499999996" bottom="0.78740157499999996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1EBAC82B0EEE840A67C7FB214D482C8" ma:contentTypeVersion="18" ma:contentTypeDescription="Ein neues Dokument erstellen." ma:contentTypeScope="" ma:versionID="1a257a722d6f64fa962f318915313853">
  <xsd:schema xmlns:xsd="http://www.w3.org/2001/XMLSchema" xmlns:xs="http://www.w3.org/2001/XMLSchema" xmlns:p="http://schemas.microsoft.com/office/2006/metadata/properties" xmlns:ns2="b1f1f94d-82f1-44bf-bf4a-587ea86b325b" xmlns:ns3="b40e44bb-6c6c-402b-bb65-5ebe920531f5" targetNamespace="http://schemas.microsoft.com/office/2006/metadata/properties" ma:root="true" ma:fieldsID="0e9add44117d9899f94e9cf1343297b9" ns2:_="" ns3:_="">
    <xsd:import namespace="b1f1f94d-82f1-44bf-bf4a-587ea86b325b"/>
    <xsd:import namespace="b40e44bb-6c6c-402b-bb65-5ebe920531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f1f94d-82f1-44bf-bf4a-587ea86b3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2cb76940-26f4-499e-9ef3-29f392f4ea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0e44bb-6c6c-402b-bb65-5ebe920531f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c7014b7-afa0-40bf-901d-c9ff54bbba3e}" ma:internalName="TaxCatchAll" ma:showField="CatchAllData" ma:web="b40e44bb-6c6c-402b-bb65-5ebe920531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0e44bb-6c6c-402b-bb65-5ebe920531f5" xsi:nil="true"/>
    <lcf76f155ced4ddcb4097134ff3c332f xmlns="b1f1f94d-82f1-44bf-bf4a-587ea86b32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05923E-AEDB-42E3-981C-36798C38D7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68F291-6897-4E17-A349-E5F7497B32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f1f94d-82f1-44bf-bf4a-587ea86b325b"/>
    <ds:schemaRef ds:uri="b40e44bb-6c6c-402b-bb65-5ebe920531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CD30C8-4E7F-4CB3-9FC0-636C3BC9D036}">
  <ds:schemaRefs>
    <ds:schemaRef ds:uri="http://purl.org/dc/dcmitype/"/>
    <ds:schemaRef ds:uri="http://www.w3.org/XML/1998/namespace"/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1f1f94d-82f1-44bf-bf4a-587ea86b325b"/>
    <ds:schemaRef ds:uri="ad7bf0b2-127a-4bcb-8dbd-082ae466b607"/>
    <ds:schemaRef ds:uri="b2483a66-61c7-401e-be39-1ab67ee334fe"/>
    <ds:schemaRef ds:uri="b40e44bb-6c6c-402b-bb65-5ebe920531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Provisionsberechnung</vt:lpstr>
      <vt:lpstr>Provisionsstaffel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NENAD STOPARANOVIC</dc:creator>
  <cp:lastModifiedBy>Stefano Papes</cp:lastModifiedBy>
  <cp:lastPrinted>2024-04-02T13:53:40Z</cp:lastPrinted>
  <dcterms:created xsi:type="dcterms:W3CDTF">2014-12-24T08:08:42Z</dcterms:created>
  <dcterms:modified xsi:type="dcterms:W3CDTF">2026-04-07T15:06:40Z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0x01010051EBAC82B0EEE840A67C7FB214D482C8</vt:lpwstr>
  </property>
  <property fmtid="{D5CDD505-2E9C-101B-9397-08002B2CF9AE}" pid="3" name="AuthorIds_UIVersion_24064">
    <vt:lpwstr>56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