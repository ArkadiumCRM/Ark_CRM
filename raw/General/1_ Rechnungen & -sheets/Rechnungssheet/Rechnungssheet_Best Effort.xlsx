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vgc21ch.sharepoint.com/sites/ArkadiumDataBase/Freigegebene Dokumente/General/1_ Rechnungen &amp; -sheets/Rechnungssheet/"/>
    </mc:Choice>
  </mc:AlternateContent>
  <xr:revisionPtr revIDLastSave="243" documentId="8_{6E785DF6-5786-4A53-AC25-64E996FF70FF}" xr6:coauthVersionLast="47" xr6:coauthVersionMax="47" xr10:uidLastSave="{9FF19646-2C4E-40CD-8D1B-6AD5AEBC6652}"/>
  <bookViews>
    <workbookView xWindow="-120" yWindow="-120" windowWidth="29040" windowHeight="15720" xr2:uid="{C81AA0E1-E5DF-4FA1-AB57-15B7A518AFB9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G12" i="1"/>
  <c r="G10" i="1"/>
  <c r="G15" i="1" l="1"/>
  <c r="F18" i="1" s="1"/>
  <c r="F20" i="1" s="1"/>
  <c r="F21" i="1" s="1"/>
  <c r="F22" i="1" s="1"/>
</calcChain>
</file>

<file path=xl/sharedStrings.xml><?xml version="1.0" encoding="utf-8"?>
<sst xmlns="http://schemas.openxmlformats.org/spreadsheetml/2006/main" count="67" uniqueCount="63">
  <si>
    <t>RECHNUNGSSHEET BEST EFFORT</t>
  </si>
  <si>
    <t xml:space="preserve">KUNDEN - INFORMATION </t>
  </si>
  <si>
    <t>Kunde</t>
  </si>
  <si>
    <t>Ansprechpartner Buchhaltung</t>
  </si>
  <si>
    <t>Ansprechpartner Linie</t>
  </si>
  <si>
    <t xml:space="preserve">Bemerkungen / Wichtige Informationen </t>
  </si>
  <si>
    <t>Ansprechpartner HR</t>
  </si>
  <si>
    <t>KANDIDATEN-INFORMATIONEN</t>
  </si>
  <si>
    <t>Name</t>
  </si>
  <si>
    <t>Brutto Monatsgehalt</t>
  </si>
  <si>
    <t>x12 oder x13</t>
  </si>
  <si>
    <t>Funktion</t>
  </si>
  <si>
    <t>Brutto Jahresgehalt</t>
  </si>
  <si>
    <t>Pensum</t>
  </si>
  <si>
    <t>Pauschalspesen Monat</t>
  </si>
  <si>
    <t>Zusage am:</t>
  </si>
  <si>
    <t>Brutto Jahresspesen</t>
  </si>
  <si>
    <t>Startdatum</t>
  </si>
  <si>
    <t>Var. Anteil (STI + LTI)</t>
  </si>
  <si>
    <t>Car Allowance p.a</t>
  </si>
  <si>
    <t xml:space="preserve">Garantiefrist Dauer </t>
  </si>
  <si>
    <t xml:space="preserve">3 Monate </t>
  </si>
  <si>
    <t>Var. Anteil</t>
  </si>
  <si>
    <t>Ende Garantiefrist</t>
  </si>
  <si>
    <t>Zu erwartetes erstes Jahresgehalt TC</t>
  </si>
  <si>
    <t>KONDITIONEN</t>
  </si>
  <si>
    <t>Honoraransatz in %</t>
  </si>
  <si>
    <t>Zwischentotal</t>
  </si>
  <si>
    <t>Candidate Hunter</t>
  </si>
  <si>
    <t>Rabattgrund</t>
  </si>
  <si>
    <t>Rabatt in CHF</t>
  </si>
  <si>
    <t>Account Hunter</t>
  </si>
  <si>
    <t>Rabatt in %</t>
  </si>
  <si>
    <t>Summe</t>
  </si>
  <si>
    <t>Candidate Manager</t>
  </si>
  <si>
    <t>Referral</t>
  </si>
  <si>
    <t>MwSt.</t>
  </si>
  <si>
    <t>Account Manager</t>
  </si>
  <si>
    <t>Referral Betrag</t>
  </si>
  <si>
    <t>Rechnungsbetrag</t>
  </si>
  <si>
    <t>ML</t>
  </si>
  <si>
    <t>BUCHHALTUNG</t>
  </si>
  <si>
    <t xml:space="preserve">RG-Nummer </t>
  </si>
  <si>
    <t>Zusagedatum / Rechnungsdatum</t>
  </si>
  <si>
    <t>Unterschrift Candidate Manager</t>
  </si>
  <si>
    <t>Valutadatum</t>
  </si>
  <si>
    <t>Unterschrift Account Manager</t>
  </si>
  <si>
    <t>Buchhaltung</t>
  </si>
  <si>
    <t>Bezahlt am</t>
  </si>
  <si>
    <t>Unterschrift Buchhaltung</t>
  </si>
  <si>
    <t>Datum</t>
  </si>
  <si>
    <t>Unterschrift</t>
  </si>
  <si>
    <t>Mit seiner Unterschrift bestätigt der Kunde die Richtigkeit der Daten, die den Inhalt der von der Arkadium AG gestellten Rechnung bilden.</t>
  </si>
  <si>
    <t xml:space="preserve">Frau Priska Hartmann </t>
  </si>
  <si>
    <t>rb</t>
  </si>
  <si>
    <t>yb</t>
  </si>
  <si>
    <t>FN 2025.03.1008</t>
  </si>
  <si>
    <t>Partnerschaft</t>
  </si>
  <si>
    <t>Pascal Bee</t>
  </si>
  <si>
    <t xml:space="preserve">Teamleiter </t>
  </si>
  <si>
    <t>Emch + Berger Gruppe</t>
  </si>
  <si>
    <t>Nico Papé</t>
  </si>
  <si>
    <t>Ricarda Bruger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</si>
</sst>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CHF&quot;\ * #,##0.00_ ;_ &quot;CHF&quot;\ * \-#,##0.00_ ;_ &quot;CHF&quot;\ * &quot;-&quot;??_ ;_ @_ "/>
    <numFmt numFmtId="164" formatCode="[$-F800]dddd\,\ mmmm\ dd\,\ yyyy"/>
    <numFmt numFmtId="165" formatCode="_ [$CHF-807]\ * #,##0.00_ ;_ [$CHF-807]\ * \-#,##0.00_ ;_ [$CHF-807]\ * &quot;-&quot;??_ ;_ @_ "/>
  </numFmts>
  <fonts count="8" x14ac:knownFonts="1">
    <font>
      <sz val="11"/>
      <color theme="1"/>
      <name val="Aptos Narrow"/>
      <family val="2"/>
      <scheme val="minor"/>
    </font>
    <font>
      <sz val="8"/>
      <color theme="1"/>
      <name val="Avenir Light"/>
      <family val="2"/>
    </font>
    <font>
      <b/>
      <sz val="11"/>
      <color rgb="FFBAA67A"/>
      <name val="Athelas"/>
    </font>
    <font>
      <sz val="11"/>
      <color theme="1"/>
      <name val="Aptos Narrow"/>
      <family val="2"/>
      <scheme val="minor"/>
    </font>
    <font>
      <b/>
      <sz val="8"/>
      <color theme="1"/>
      <name val="Avenir Light"/>
      <family val="2"/>
    </font>
    <font>
      <sz val="8"/>
      <color theme="1"/>
      <name val="Aptos Narrow"/>
      <family val="2"/>
      <scheme val="minor"/>
    </font>
    <font>
      <b/>
      <sz val="10"/>
      <color rgb="FF1B3051"/>
      <name val="Athelas"/>
    </font>
    <font>
      <b/>
      <sz val="10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B305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AA67A"/>
        <bgColor indexed="64"/>
      </patternFill>
    </fill>
    <fill>
      <patternFill patternType="solid">
        <fgColor rgb="FFD9CEB5"/>
        <bgColor indexed="64"/>
      </patternFill>
    </fill>
    <fill>
      <patternFill patternType="solid">
        <fgColor rgb="FFBFAC83"/>
        <bgColor indexed="64"/>
      </patternFill>
    </fill>
    <fill>
      <patternFill patternType="solid">
        <fgColor rgb="FF9D8551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0" tint="-0.1499984740745262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1499984740745262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14999847407452621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29">
    <xf numFmtId="0" fontId="0" fillId="0" borderId="0" xfId="0"/>
    <xf numFmtId="0" fontId="0" fillId="0" borderId="0" xfId="0" applyAlignment="1">
      <alignment wrapText="1"/>
    </xf>
    <xf numFmtId="0" fontId="4" fillId="0" borderId="27" xfId="0" applyFont="1" applyBorder="1" applyAlignment="1">
      <alignment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8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4" fillId="0" borderId="29" xfId="0" applyFont="1" applyBorder="1" applyAlignment="1">
      <alignment vertical="center" wrapText="1"/>
    </xf>
    <xf numFmtId="0" fontId="4" fillId="0" borderId="27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center" vertical="center" wrapText="1"/>
    </xf>
    <xf numFmtId="165" fontId="1" fillId="0" borderId="21" xfId="0" applyNumberFormat="1" applyFont="1" applyBorder="1" applyAlignment="1">
      <alignment horizontal="center" vertical="center" wrapText="1"/>
    </xf>
    <xf numFmtId="0" fontId="4" fillId="0" borderId="28" xfId="0" applyFont="1" applyBorder="1" applyAlignment="1">
      <alignment horizontal="left" vertical="center" wrapText="1"/>
    </xf>
    <xf numFmtId="165" fontId="4" fillId="5" borderId="28" xfId="0" applyNumberFormat="1" applyFont="1" applyFill="1" applyBorder="1" applyAlignment="1">
      <alignment horizontal="left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44" fontId="1" fillId="0" borderId="1" xfId="2" applyFont="1" applyBorder="1" applyAlignment="1">
      <alignment horizontal="center" vertical="center" wrapText="1"/>
    </xf>
    <xf numFmtId="44" fontId="1" fillId="0" borderId="23" xfId="2" applyFont="1" applyBorder="1" applyAlignment="1">
      <alignment horizontal="center" vertical="center" wrapText="1"/>
    </xf>
    <xf numFmtId="0" fontId="4" fillId="4" borderId="29" xfId="0" applyFont="1" applyFill="1" applyBorder="1" applyAlignment="1">
      <alignment horizontal="left" vertical="center" wrapText="1"/>
    </xf>
    <xf numFmtId="0" fontId="4" fillId="0" borderId="32" xfId="0" applyFont="1" applyBorder="1" applyAlignment="1">
      <alignment vertical="center" wrapText="1"/>
    </xf>
    <xf numFmtId="0" fontId="4" fillId="5" borderId="6" xfId="0" applyFont="1" applyFill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165" fontId="1" fillId="0" borderId="2" xfId="0" applyNumberFormat="1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7" borderId="24" xfId="0" applyFont="1" applyFill="1" applyBorder="1" applyAlignment="1">
      <alignment vertical="center" wrapText="1"/>
    </xf>
    <xf numFmtId="0" fontId="4" fillId="8" borderId="29" xfId="0" applyFont="1" applyFill="1" applyBorder="1" applyAlignment="1">
      <alignment horizontal="left" vertical="center" wrapText="1"/>
    </xf>
    <xf numFmtId="165" fontId="1" fillId="5" borderId="34" xfId="0" applyNumberFormat="1" applyFont="1" applyFill="1" applyBorder="1" applyAlignment="1">
      <alignment vertical="center" wrapText="1"/>
    </xf>
    <xf numFmtId="165" fontId="1" fillId="0" borderId="4" xfId="0" applyNumberFormat="1" applyFont="1" applyBorder="1" applyAlignment="1">
      <alignment vertical="center" wrapText="1"/>
    </xf>
    <xf numFmtId="165" fontId="4" fillId="6" borderId="35" xfId="0" applyNumberFormat="1" applyFont="1" applyFill="1" applyBorder="1" applyAlignment="1">
      <alignment vertical="center" wrapText="1"/>
    </xf>
    <xf numFmtId="0" fontId="4" fillId="5" borderId="2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3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4" fillId="0" borderId="31" xfId="0" applyFont="1" applyBorder="1" applyAlignment="1">
      <alignment wrapText="1"/>
    </xf>
    <xf numFmtId="0" fontId="4" fillId="0" borderId="31" xfId="0" applyFont="1" applyBorder="1" applyAlignment="1">
      <alignment vertical="center" wrapText="1"/>
    </xf>
    <xf numFmtId="0" fontId="4" fillId="8" borderId="29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4" fillId="0" borderId="4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0" fillId="0" borderId="8" xfId="0" applyBorder="1" applyAlignment="1">
      <alignment wrapText="1"/>
    </xf>
    <xf numFmtId="0" fontId="1" fillId="0" borderId="45" xfId="0" applyFont="1" applyBorder="1"/>
    <xf numFmtId="14" fontId="4" fillId="0" borderId="10" xfId="0" applyNumberFormat="1" applyFont="1" applyBorder="1" applyAlignment="1">
      <alignment vertical="center" wrapText="1"/>
    </xf>
    <xf numFmtId="165" fontId="0" fillId="0" borderId="0" xfId="0" applyNumberFormat="1"/>
    <xf numFmtId="165" fontId="4" fillId="7" borderId="36" xfId="0" applyNumberFormat="1" applyFont="1" applyFill="1" applyBorder="1" applyAlignment="1">
      <alignment vertical="center" wrapText="1"/>
    </xf>
    <xf numFmtId="0" fontId="1" fillId="0" borderId="2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wrapText="1"/>
    </xf>
    <xf numFmtId="0" fontId="5" fillId="0" borderId="19" xfId="0" applyFont="1" applyBorder="1" applyAlignment="1">
      <alignment horizontal="center" wrapText="1"/>
    </xf>
    <xf numFmtId="0" fontId="5" fillId="0" borderId="20" xfId="0" applyFont="1" applyBorder="1" applyAlignment="1">
      <alignment horizontal="center" wrapText="1"/>
    </xf>
    <xf numFmtId="165" fontId="1" fillId="4" borderId="31" xfId="0" applyNumberFormat="1" applyFont="1" applyFill="1" applyBorder="1" applyAlignment="1">
      <alignment horizontal="center" vertical="center" wrapText="1"/>
    </xf>
    <xf numFmtId="165" fontId="1" fillId="4" borderId="26" xfId="0" applyNumberFormat="1" applyFont="1" applyFill="1" applyBorder="1" applyAlignment="1">
      <alignment horizontal="center" vertical="center" wrapText="1"/>
    </xf>
    <xf numFmtId="165" fontId="1" fillId="4" borderId="7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23" xfId="0" applyNumberFormat="1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164" fontId="1" fillId="0" borderId="33" xfId="0" applyNumberFormat="1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164" fontId="1" fillId="0" borderId="30" xfId="0" applyNumberFormat="1" applyFont="1" applyBorder="1" applyAlignment="1">
      <alignment horizontal="center" vertical="center" wrapText="1"/>
    </xf>
    <xf numFmtId="0" fontId="6" fillId="3" borderId="9" xfId="0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 wrapText="1"/>
    </xf>
    <xf numFmtId="0" fontId="7" fillId="3" borderId="11" xfId="0" applyFont="1" applyFill="1" applyBorder="1" applyAlignment="1">
      <alignment horizontal="left" vertical="center" wrapText="1"/>
    </xf>
    <xf numFmtId="165" fontId="1" fillId="5" borderId="1" xfId="0" applyNumberFormat="1" applyFont="1" applyFill="1" applyBorder="1" applyAlignment="1">
      <alignment horizontal="center" vertical="center" wrapText="1"/>
    </xf>
    <xf numFmtId="165" fontId="1" fillId="5" borderId="23" xfId="0" applyNumberFormat="1" applyFont="1" applyFill="1" applyBorder="1" applyAlignment="1">
      <alignment horizontal="center" vertical="center" wrapText="1"/>
    </xf>
    <xf numFmtId="15" fontId="1" fillId="0" borderId="3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164" fontId="1" fillId="8" borderId="24" xfId="0" applyNumberFormat="1" applyFont="1" applyFill="1" applyBorder="1" applyAlignment="1">
      <alignment horizontal="center" vertical="center" wrapText="1"/>
    </xf>
    <xf numFmtId="164" fontId="1" fillId="8" borderId="25" xfId="0" applyNumberFormat="1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left" vertical="center" wrapText="1"/>
    </xf>
    <xf numFmtId="0" fontId="6" fillId="3" borderId="19" xfId="0" applyFont="1" applyFill="1" applyBorder="1" applyAlignment="1">
      <alignment horizontal="left" vertical="center" wrapText="1"/>
    </xf>
    <xf numFmtId="0" fontId="6" fillId="3" borderId="20" xfId="0" applyFont="1" applyFill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4" fillId="0" borderId="26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9" fontId="1" fillId="0" borderId="17" xfId="1" applyFont="1" applyBorder="1" applyAlignment="1">
      <alignment horizontal="center" vertical="center" wrapText="1"/>
    </xf>
    <xf numFmtId="44" fontId="1" fillId="0" borderId="1" xfId="2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16" xfId="0" applyFont="1" applyBorder="1" applyAlignment="1">
      <alignment horizontal="center" wrapText="1"/>
    </xf>
    <xf numFmtId="0" fontId="4" fillId="7" borderId="26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44" fontId="1" fillId="0" borderId="24" xfId="2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wrapText="1"/>
    </xf>
    <xf numFmtId="0" fontId="5" fillId="0" borderId="13" xfId="0" applyFont="1" applyBorder="1" applyAlignment="1">
      <alignment horizontal="center" wrapText="1"/>
    </xf>
    <xf numFmtId="0" fontId="5" fillId="0" borderId="14" xfId="0" applyFont="1" applyBorder="1" applyAlignment="1">
      <alignment horizontal="center" wrapText="1"/>
    </xf>
    <xf numFmtId="0" fontId="4" fillId="5" borderId="37" xfId="0" applyFont="1" applyFill="1" applyBorder="1" applyAlignment="1">
      <alignment horizontal="center" vertical="center" wrapText="1"/>
    </xf>
    <xf numFmtId="0" fontId="4" fillId="5" borderId="38" xfId="0" applyFont="1" applyFill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 vertical="center" wrapText="1"/>
    </xf>
    <xf numFmtId="0" fontId="4" fillId="6" borderId="30" xfId="0" applyFont="1" applyFill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left" vertical="center" wrapText="1"/>
    </xf>
    <xf numFmtId="0" fontId="7" fillId="3" borderId="20" xfId="0" applyFont="1" applyFill="1" applyBorder="1" applyAlignment="1">
      <alignment horizontal="left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1" fillId="0" borderId="2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6" fillId="8" borderId="18" xfId="0" applyFont="1" applyFill="1" applyBorder="1" applyAlignment="1">
      <alignment horizontal="left" vertical="center" wrapText="1"/>
    </xf>
    <xf numFmtId="0" fontId="6" fillId="8" borderId="19" xfId="0" applyFont="1" applyFill="1" applyBorder="1" applyAlignment="1">
      <alignment horizontal="left" vertical="center" wrapText="1"/>
    </xf>
    <xf numFmtId="0" fontId="6" fillId="8" borderId="20" xfId="0" applyFont="1" applyFill="1" applyBorder="1" applyAlignment="1">
      <alignment horizontal="left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</cellXfs>
  <cellStyles count="3">
    <cellStyle name="Prozent" xfId="1" builtinId="5"/>
    <cellStyle name="Standard" xfId="0" builtinId="0"/>
    <cellStyle name="Währung" xfId="2" builtinId="4"/>
  </cellStyles>
  <dxfs count="0"/>
  <tableStyles count="0" defaultTableStyle="TableStyleMedium2" defaultPivotStyle="PivotStyleLight16"/>
  <colors>
    <mruColors>
      <color rgb="FFBFAC83"/>
      <color rgb="FFD9CEB5"/>
      <color rgb="FF9D8551"/>
      <color rgb="FFBAA67A"/>
      <color rgb="FF1B30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29608</xdr:colOff>
      <xdr:row>2</xdr:row>
      <xdr:rowOff>258001</xdr:rowOff>
    </xdr:from>
    <xdr:to>
      <xdr:col>1</xdr:col>
      <xdr:colOff>468588</xdr:colOff>
      <xdr:row>2</xdr:row>
      <xdr:rowOff>258001</xdr:rowOff>
    </xdr:to>
    <xdr:cxnSp macro="">
      <xdr:nvCxnSpPr>
        <xdr:cNvPr id="3" name="Gerader Verbinder 2">
          <a:extLst>
            <a:ext uri="{FF2B5EF4-FFF2-40B4-BE49-F238E27FC236}">
              <a16:creationId xmlns:a16="http://schemas.microsoft.com/office/drawing/2014/main" id="{D8CCEB27-FDDA-A5C3-E88C-A38E68C730AA}"/>
            </a:ext>
          </a:extLst>
        </xdr:cNvPr>
        <xdr:cNvCxnSpPr/>
      </xdr:nvCxnSpPr>
      <xdr:spPr>
        <a:xfrm flipV="1">
          <a:off x="518282" y="630718"/>
          <a:ext cx="438980" cy="0"/>
        </a:xfrm>
        <a:prstGeom prst="line">
          <a:avLst/>
        </a:prstGeom>
        <a:ln w="9525">
          <a:solidFill>
            <a:srgbClr val="1B305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29608</xdr:colOff>
      <xdr:row>7</xdr:row>
      <xdr:rowOff>258001</xdr:rowOff>
    </xdr:from>
    <xdr:to>
      <xdr:col>1</xdr:col>
      <xdr:colOff>468588</xdr:colOff>
      <xdr:row>7</xdr:row>
      <xdr:rowOff>258001</xdr:rowOff>
    </xdr:to>
    <xdr:cxnSp macro="">
      <xdr:nvCxnSpPr>
        <xdr:cNvPr id="5" name="Gerader Verbinder 4">
          <a:extLst>
            <a:ext uri="{FF2B5EF4-FFF2-40B4-BE49-F238E27FC236}">
              <a16:creationId xmlns:a16="http://schemas.microsoft.com/office/drawing/2014/main" id="{3D75B3D0-693F-4C03-AEE4-75C39A6ABD2B}"/>
            </a:ext>
          </a:extLst>
        </xdr:cNvPr>
        <xdr:cNvCxnSpPr/>
      </xdr:nvCxnSpPr>
      <xdr:spPr>
        <a:xfrm flipV="1">
          <a:off x="518282" y="2154718"/>
          <a:ext cx="438980" cy="0"/>
        </a:xfrm>
        <a:prstGeom prst="line">
          <a:avLst/>
        </a:prstGeom>
        <a:ln w="9525">
          <a:solidFill>
            <a:srgbClr val="1B305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29608</xdr:colOff>
      <xdr:row>16</xdr:row>
      <xdr:rowOff>266284</xdr:rowOff>
    </xdr:from>
    <xdr:to>
      <xdr:col>1</xdr:col>
      <xdr:colOff>468588</xdr:colOff>
      <xdr:row>16</xdr:row>
      <xdr:rowOff>266284</xdr:rowOff>
    </xdr:to>
    <xdr:cxnSp macro="">
      <xdr:nvCxnSpPr>
        <xdr:cNvPr id="6" name="Gerader Verbinder 5">
          <a:extLst>
            <a:ext uri="{FF2B5EF4-FFF2-40B4-BE49-F238E27FC236}">
              <a16:creationId xmlns:a16="http://schemas.microsoft.com/office/drawing/2014/main" id="{0FD9C381-7441-47F3-BDFC-E19372C727F4}"/>
            </a:ext>
          </a:extLst>
        </xdr:cNvPr>
        <xdr:cNvCxnSpPr/>
      </xdr:nvCxnSpPr>
      <xdr:spPr>
        <a:xfrm flipV="1">
          <a:off x="518282" y="5111610"/>
          <a:ext cx="438980" cy="0"/>
        </a:xfrm>
        <a:prstGeom prst="line">
          <a:avLst/>
        </a:prstGeom>
        <a:ln w="9525">
          <a:solidFill>
            <a:srgbClr val="1B305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29608</xdr:colOff>
      <xdr:row>23</xdr:row>
      <xdr:rowOff>258001</xdr:rowOff>
    </xdr:from>
    <xdr:to>
      <xdr:col>1</xdr:col>
      <xdr:colOff>468588</xdr:colOff>
      <xdr:row>23</xdr:row>
      <xdr:rowOff>258001</xdr:rowOff>
    </xdr:to>
    <xdr:cxnSp macro="">
      <xdr:nvCxnSpPr>
        <xdr:cNvPr id="2" name="Gerader Verbinder 1">
          <a:extLst>
            <a:ext uri="{FF2B5EF4-FFF2-40B4-BE49-F238E27FC236}">
              <a16:creationId xmlns:a16="http://schemas.microsoft.com/office/drawing/2014/main" id="{E108F861-9754-40E6-B38F-89D5BD2A0FDC}"/>
            </a:ext>
          </a:extLst>
        </xdr:cNvPr>
        <xdr:cNvCxnSpPr/>
      </xdr:nvCxnSpPr>
      <xdr:spPr>
        <a:xfrm flipV="1">
          <a:off x="518282" y="7339631"/>
          <a:ext cx="438980" cy="0"/>
        </a:xfrm>
        <a:prstGeom prst="line">
          <a:avLst/>
        </a:prstGeom>
        <a:ln w="9525">
          <a:solidFill>
            <a:srgbClr val="1B305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1A78C-9A2E-4434-8A52-999FD6406624}">
  <sheetPr>
    <pageSetUpPr fitToPage="1"/>
  </sheetPr>
  <dimension ref="B1:R73"/>
  <sheetViews>
    <sheetView tabSelected="1" showWhiteSpace="0" zoomScale="115" zoomScaleNormal="100" zoomScalePageLayoutView="115" workbookViewId="0">
      <selection activeCell="L6" sqref="L6"/>
    </sheetView>
  </sheetViews>
  <sheetFormatPr baseColWidth="10" defaultColWidth="11.42578125" defaultRowHeight="15" x14ac:dyDescent="0.25"/>
  <cols>
    <col min="1" max="1" width="6.7109375" customWidth="1"/>
    <col min="2" max="2" width="18.5703125" style="1" customWidth="1"/>
    <col min="3" max="4" width="7.42578125" style="1" customWidth="1"/>
    <col min="5" max="5" width="14" style="1" bestFit="1" customWidth="1"/>
    <col min="6" max="6" width="24.5703125" style="1" customWidth="1"/>
    <col min="7" max="7" width="15.140625" style="1" bestFit="1" customWidth="1"/>
    <col min="8" max="8" width="13.85546875" style="1" bestFit="1" customWidth="1"/>
    <col min="9" max="9" width="11.28515625" style="1" customWidth="1"/>
    <col min="10" max="10" width="1.7109375" customWidth="1"/>
    <col min="11" max="11" width="14.140625" customWidth="1"/>
  </cols>
  <sheetData>
    <row r="1" spans="2:18" ht="15" customHeight="1" x14ac:dyDescent="0.25">
      <c r="B1" s="76" t="s">
        <v>0</v>
      </c>
      <c r="C1" s="77"/>
      <c r="D1" s="77"/>
      <c r="E1" s="77"/>
      <c r="F1" s="77"/>
      <c r="G1" s="77"/>
      <c r="H1" s="77"/>
      <c r="I1" s="78"/>
    </row>
    <row r="2" spans="2:18" ht="15.75" thickBot="1" x14ac:dyDescent="0.3">
      <c r="B2" s="79"/>
      <c r="C2" s="80"/>
      <c r="D2" s="80"/>
      <c r="E2" s="80"/>
      <c r="F2" s="80"/>
      <c r="G2" s="80"/>
      <c r="H2" s="80"/>
      <c r="I2" s="81"/>
    </row>
    <row r="3" spans="2:18" s="1" customFormat="1" ht="24.75" customHeight="1" thickBot="1" x14ac:dyDescent="0.3">
      <c r="B3" s="82" t="s">
        <v>1</v>
      </c>
      <c r="C3" s="83"/>
      <c r="D3" s="83"/>
      <c r="E3" s="83"/>
      <c r="F3" s="83"/>
      <c r="G3" s="83"/>
      <c r="H3" s="83"/>
      <c r="I3" s="84"/>
      <c r="K3"/>
      <c r="L3"/>
      <c r="M3"/>
      <c r="N3"/>
      <c r="O3"/>
      <c r="P3"/>
      <c r="Q3"/>
      <c r="R3"/>
    </row>
    <row r="4" spans="2:18" ht="27.75" customHeight="1" thickBot="1" x14ac:dyDescent="0.3">
      <c r="B4" s="2" t="s">
        <v>2</v>
      </c>
      <c r="C4" s="60" t="s">
        <v>60</v>
      </c>
      <c r="D4" s="60"/>
      <c r="E4" s="60"/>
      <c r="F4" s="3" t="s">
        <v>3</v>
      </c>
      <c r="G4" s="127" t="s">
        <v>53</v>
      </c>
      <c r="H4" s="127"/>
      <c r="I4" s="128"/>
    </row>
    <row r="5" spans="2:18" ht="27.75" customHeight="1" x14ac:dyDescent="0.25">
      <c r="B5" s="4" t="s">
        <v>4</v>
      </c>
      <c r="C5" s="49" t="s">
        <v>61</v>
      </c>
      <c r="D5" s="49"/>
      <c r="E5" s="49"/>
      <c r="F5" s="47" t="s">
        <v>5</v>
      </c>
      <c r="G5" s="49"/>
      <c r="H5" s="49"/>
      <c r="I5" s="50"/>
    </row>
    <row r="6" spans="2:18" ht="27.75" customHeight="1" thickBot="1" x14ac:dyDescent="0.3">
      <c r="B6" s="8" t="s">
        <v>6</v>
      </c>
      <c r="C6" s="46" t="s">
        <v>62</v>
      </c>
      <c r="D6" s="46"/>
      <c r="E6" s="46"/>
      <c r="F6" s="48"/>
      <c r="G6" s="46"/>
      <c r="H6" s="46"/>
      <c r="I6" s="51"/>
    </row>
    <row r="7" spans="2:18" ht="7.5" customHeight="1" thickBot="1" x14ac:dyDescent="0.3">
      <c r="B7" s="52"/>
      <c r="C7" s="53"/>
      <c r="D7" s="53"/>
      <c r="E7" s="53"/>
      <c r="F7" s="53"/>
      <c r="G7" s="53"/>
      <c r="H7" s="53"/>
      <c r="I7" s="54"/>
    </row>
    <row r="8" spans="2:18" ht="24.75" customHeight="1" thickBot="1" x14ac:dyDescent="0.3">
      <c r="B8" s="66" t="s">
        <v>7</v>
      </c>
      <c r="C8" s="67"/>
      <c r="D8" s="67"/>
      <c r="E8" s="67"/>
      <c r="F8" s="67"/>
      <c r="G8" s="67"/>
      <c r="H8" s="67"/>
      <c r="I8" s="68"/>
    </row>
    <row r="9" spans="2:18" ht="27.75" customHeight="1" x14ac:dyDescent="0.25">
      <c r="B9" s="9" t="s">
        <v>8</v>
      </c>
      <c r="C9" s="60" t="s">
        <v>58</v>
      </c>
      <c r="D9" s="60"/>
      <c r="E9" s="61"/>
      <c r="F9" s="9" t="s">
        <v>9</v>
      </c>
      <c r="G9" s="11">
        <v>8846.15</v>
      </c>
      <c r="H9" s="3" t="s">
        <v>10</v>
      </c>
      <c r="I9" s="10">
        <v>13</v>
      </c>
    </row>
    <row r="10" spans="2:18" ht="27.75" customHeight="1" x14ac:dyDescent="0.25">
      <c r="B10" s="12" t="s">
        <v>11</v>
      </c>
      <c r="C10" s="49" t="s">
        <v>59</v>
      </c>
      <c r="D10" s="49"/>
      <c r="E10" s="50"/>
      <c r="F10" s="13" t="s">
        <v>12</v>
      </c>
      <c r="G10" s="69">
        <f>SUM(G9*I9)</f>
        <v>114999.95</v>
      </c>
      <c r="H10" s="69"/>
      <c r="I10" s="70"/>
    </row>
    <row r="11" spans="2:18" ht="27.75" customHeight="1" x14ac:dyDescent="0.25">
      <c r="B11" s="12" t="s">
        <v>13</v>
      </c>
      <c r="C11" s="62">
        <v>1</v>
      </c>
      <c r="D11" s="49"/>
      <c r="E11" s="50"/>
      <c r="F11" s="12" t="s">
        <v>14</v>
      </c>
      <c r="G11" s="14">
        <v>0</v>
      </c>
      <c r="H11" s="6" t="s">
        <v>10</v>
      </c>
      <c r="I11" s="7">
        <v>12</v>
      </c>
    </row>
    <row r="12" spans="2:18" ht="27.75" customHeight="1" x14ac:dyDescent="0.25">
      <c r="B12" s="12" t="s">
        <v>15</v>
      </c>
      <c r="C12" s="58">
        <v>45797</v>
      </c>
      <c r="D12" s="58"/>
      <c r="E12" s="59"/>
      <c r="F12" s="13" t="s">
        <v>16</v>
      </c>
      <c r="G12" s="69">
        <f>SUM(G11*I11)</f>
        <v>0</v>
      </c>
      <c r="H12" s="69"/>
      <c r="I12" s="70"/>
    </row>
    <row r="13" spans="2:18" ht="27.75" customHeight="1" x14ac:dyDescent="0.25">
      <c r="B13" s="12" t="s">
        <v>17</v>
      </c>
      <c r="C13" s="63">
        <v>45870</v>
      </c>
      <c r="D13" s="64"/>
      <c r="E13" s="65"/>
      <c r="F13" s="12" t="s">
        <v>18</v>
      </c>
      <c r="G13" s="15"/>
      <c r="H13" s="5" t="s">
        <v>19</v>
      </c>
      <c r="I13" s="16">
        <v>0</v>
      </c>
    </row>
    <row r="14" spans="2:18" ht="27.75" customHeight="1" x14ac:dyDescent="0.25">
      <c r="B14" s="12" t="s">
        <v>20</v>
      </c>
      <c r="C14" s="71" t="s">
        <v>21</v>
      </c>
      <c r="D14" s="72"/>
      <c r="E14" s="73"/>
      <c r="F14" s="13" t="s">
        <v>22</v>
      </c>
      <c r="G14" s="69">
        <f>SUM(G13+I13)</f>
        <v>0</v>
      </c>
      <c r="H14" s="69"/>
      <c r="I14" s="70"/>
    </row>
    <row r="15" spans="2:18" ht="27.75" customHeight="1" x14ac:dyDescent="0.25">
      <c r="B15" s="25" t="s">
        <v>23</v>
      </c>
      <c r="C15" s="74">
        <v>45961</v>
      </c>
      <c r="D15" s="74"/>
      <c r="E15" s="75"/>
      <c r="F15" s="17" t="s">
        <v>24</v>
      </c>
      <c r="G15" s="55">
        <f>SUM(G10+G12+G14)</f>
        <v>114999.95</v>
      </c>
      <c r="H15" s="56"/>
      <c r="I15" s="57"/>
    </row>
    <row r="16" spans="2:18" ht="7.5" customHeight="1" thickBot="1" x14ac:dyDescent="0.3">
      <c r="B16" s="97"/>
      <c r="C16" s="98"/>
      <c r="D16" s="98"/>
      <c r="E16" s="98"/>
      <c r="F16" s="98"/>
      <c r="G16" s="98"/>
      <c r="H16" s="98"/>
      <c r="I16" s="99"/>
    </row>
    <row r="17" spans="2:18" ht="24.75" customHeight="1" thickBot="1" x14ac:dyDescent="0.3">
      <c r="B17" s="82" t="s">
        <v>25</v>
      </c>
      <c r="C17" s="107"/>
      <c r="D17" s="107"/>
      <c r="E17" s="107"/>
      <c r="F17" s="107"/>
      <c r="G17" s="107"/>
      <c r="H17" s="107"/>
      <c r="I17" s="108"/>
    </row>
    <row r="18" spans="2:18" ht="27.75" customHeight="1" x14ac:dyDescent="0.25">
      <c r="B18" s="18" t="s">
        <v>26</v>
      </c>
      <c r="C18" s="89">
        <v>0.25</v>
      </c>
      <c r="D18" s="89"/>
      <c r="E18" s="29" t="s">
        <v>27</v>
      </c>
      <c r="F18" s="26">
        <f>SUM(G15*C18)</f>
        <v>28749.987499999999</v>
      </c>
      <c r="G18" s="19" t="s">
        <v>28</v>
      </c>
      <c r="H18" s="100"/>
      <c r="I18" s="101"/>
      <c r="K18" s="44"/>
    </row>
    <row r="19" spans="2:18" ht="27.75" customHeight="1" x14ac:dyDescent="0.25">
      <c r="B19" s="4" t="s">
        <v>29</v>
      </c>
      <c r="C19" s="90" t="s">
        <v>57</v>
      </c>
      <c r="D19" s="90"/>
      <c r="E19" s="30" t="s">
        <v>30</v>
      </c>
      <c r="F19" s="27">
        <v>5750</v>
      </c>
      <c r="G19" s="20" t="s">
        <v>31</v>
      </c>
      <c r="H19" s="102"/>
      <c r="I19" s="103"/>
    </row>
    <row r="20" spans="2:18" ht="27.75" customHeight="1" x14ac:dyDescent="0.25">
      <c r="B20" s="4" t="s">
        <v>32</v>
      </c>
      <c r="C20" s="106">
        <v>0.2</v>
      </c>
      <c r="D20" s="49"/>
      <c r="E20" s="21" t="s">
        <v>33</v>
      </c>
      <c r="F20" s="28">
        <f>SUM(F18-F19)</f>
        <v>22999.987499999999</v>
      </c>
      <c r="G20" s="21" t="s">
        <v>34</v>
      </c>
      <c r="H20" s="104"/>
      <c r="I20" s="105"/>
    </row>
    <row r="21" spans="2:18" ht="27.75" customHeight="1" x14ac:dyDescent="0.25">
      <c r="B21" s="4" t="s">
        <v>35</v>
      </c>
      <c r="C21" s="90">
        <v>0</v>
      </c>
      <c r="D21" s="90"/>
      <c r="E21" s="30" t="s">
        <v>36</v>
      </c>
      <c r="F21" s="22">
        <f>SUM(F20*8.1%)</f>
        <v>1862.9989875000001</v>
      </c>
      <c r="G21" s="23" t="s">
        <v>37</v>
      </c>
      <c r="H21" s="102"/>
      <c r="I21" s="103"/>
    </row>
    <row r="22" spans="2:18" ht="27.75" customHeight="1" thickBot="1" x14ac:dyDescent="0.3">
      <c r="B22" s="8" t="s">
        <v>38</v>
      </c>
      <c r="C22" s="96">
        <v>0</v>
      </c>
      <c r="D22" s="96"/>
      <c r="E22" s="24" t="s">
        <v>39</v>
      </c>
      <c r="F22" s="45">
        <f>ROUND(SUM(F21+F20)/0.05,0)*0.05</f>
        <v>24863</v>
      </c>
      <c r="G22" s="24" t="s">
        <v>40</v>
      </c>
      <c r="H22" s="94"/>
      <c r="I22" s="95"/>
    </row>
    <row r="23" spans="2:18" ht="7.5" customHeight="1" thickBot="1" x14ac:dyDescent="0.3">
      <c r="B23" s="91"/>
      <c r="C23" s="92"/>
      <c r="D23" s="92"/>
      <c r="E23" s="92"/>
      <c r="F23" s="92"/>
      <c r="G23" s="92"/>
      <c r="H23" s="92"/>
      <c r="I23" s="93"/>
    </row>
    <row r="24" spans="2:18" s="1" customFormat="1" ht="24.75" customHeight="1" thickBot="1" x14ac:dyDescent="0.3">
      <c r="B24" s="82" t="s">
        <v>41</v>
      </c>
      <c r="C24" s="83"/>
      <c r="D24" s="83"/>
      <c r="E24" s="83"/>
      <c r="F24" s="83"/>
      <c r="G24" s="83"/>
      <c r="H24" s="83"/>
      <c r="I24" s="84"/>
      <c r="J24"/>
      <c r="K24"/>
      <c r="O24"/>
      <c r="P24"/>
      <c r="Q24"/>
      <c r="R24"/>
    </row>
    <row r="25" spans="2:18" s="1" customFormat="1" ht="24.75" customHeight="1" thickBot="1" x14ac:dyDescent="0.3">
      <c r="B25" s="37" t="s">
        <v>42</v>
      </c>
      <c r="C25" s="117" t="s">
        <v>56</v>
      </c>
      <c r="D25" s="118"/>
      <c r="E25" s="118"/>
      <c r="F25" s="118"/>
      <c r="G25" s="118"/>
      <c r="H25" s="118"/>
      <c r="I25" s="119"/>
      <c r="J25"/>
      <c r="K25"/>
      <c r="O25"/>
      <c r="P25"/>
      <c r="Q25"/>
      <c r="R25"/>
    </row>
    <row r="26" spans="2:18" ht="43.5" customHeight="1" x14ac:dyDescent="0.25">
      <c r="B26" s="109" t="s">
        <v>34</v>
      </c>
      <c r="C26" s="121" t="s">
        <v>54</v>
      </c>
      <c r="D26" s="122"/>
      <c r="E26" s="123"/>
      <c r="F26" s="43">
        <v>45748</v>
      </c>
      <c r="G26" s="85"/>
      <c r="H26" s="85"/>
      <c r="I26" s="86"/>
    </row>
    <row r="27" spans="2:18" ht="16.5" customHeight="1" thickBot="1" x14ac:dyDescent="0.4">
      <c r="B27" s="120"/>
      <c r="C27" s="124"/>
      <c r="D27" s="125"/>
      <c r="E27" s="126"/>
      <c r="F27" s="35" t="s">
        <v>43</v>
      </c>
      <c r="G27" s="33"/>
      <c r="H27" s="87" t="s">
        <v>44</v>
      </c>
      <c r="I27" s="88"/>
    </row>
    <row r="28" spans="2:18" ht="45" customHeight="1" x14ac:dyDescent="0.25">
      <c r="B28" s="109" t="s">
        <v>37</v>
      </c>
      <c r="C28" s="121" t="s">
        <v>55</v>
      </c>
      <c r="D28" s="122"/>
      <c r="E28" s="123"/>
      <c r="F28" s="43">
        <v>45777</v>
      </c>
      <c r="G28" s="34"/>
      <c r="H28" s="85"/>
      <c r="I28" s="86"/>
    </row>
    <row r="29" spans="2:18" ht="16.5" customHeight="1" thickBot="1" x14ac:dyDescent="0.4">
      <c r="B29" s="120"/>
      <c r="C29" s="124"/>
      <c r="D29" s="125"/>
      <c r="E29" s="126"/>
      <c r="F29" s="35" t="s">
        <v>45</v>
      </c>
      <c r="G29" s="33"/>
      <c r="H29" s="87" t="s">
        <v>46</v>
      </c>
      <c r="I29" s="88"/>
    </row>
    <row r="30" spans="2:18" ht="43.5" customHeight="1" x14ac:dyDescent="0.25">
      <c r="B30" s="109" t="s">
        <v>47</v>
      </c>
      <c r="C30" s="121"/>
      <c r="D30" s="122"/>
      <c r="E30" s="123"/>
      <c r="F30" s="32"/>
      <c r="G30" s="34"/>
      <c r="H30" s="85"/>
      <c r="I30" s="86"/>
    </row>
    <row r="31" spans="2:18" ht="16.5" customHeight="1" thickBot="1" x14ac:dyDescent="0.4">
      <c r="B31" s="120"/>
      <c r="C31" s="124"/>
      <c r="D31" s="125"/>
      <c r="E31" s="126"/>
      <c r="F31" s="36" t="s">
        <v>48</v>
      </c>
      <c r="G31" s="33"/>
      <c r="H31" s="87" t="s">
        <v>49</v>
      </c>
      <c r="I31" s="88"/>
    </row>
    <row r="32" spans="2:18" ht="21" customHeight="1" thickBot="1" x14ac:dyDescent="0.3"/>
    <row r="33" spans="2:9" ht="40.5" customHeight="1" x14ac:dyDescent="0.25">
      <c r="B33" s="109" t="s">
        <v>2</v>
      </c>
      <c r="C33" s="112"/>
      <c r="D33" s="113"/>
      <c r="E33" s="113"/>
      <c r="F33" s="113"/>
      <c r="G33" s="113"/>
      <c r="H33" s="113"/>
      <c r="I33" s="114"/>
    </row>
    <row r="34" spans="2:9" ht="24" customHeight="1" x14ac:dyDescent="0.25">
      <c r="B34" s="110"/>
      <c r="C34" s="102" t="s">
        <v>50</v>
      </c>
      <c r="D34" s="111"/>
      <c r="E34" s="38"/>
      <c r="F34" s="39" t="s">
        <v>51</v>
      </c>
      <c r="G34" s="40"/>
      <c r="H34" s="38"/>
      <c r="I34" s="41"/>
    </row>
    <row r="35" spans="2:9" ht="17.25" thickBot="1" x14ac:dyDescent="0.4">
      <c r="B35" s="42"/>
      <c r="C35" s="115" t="s">
        <v>52</v>
      </c>
      <c r="D35" s="115"/>
      <c r="E35" s="115"/>
      <c r="F35" s="115"/>
      <c r="G35" s="115"/>
      <c r="H35" s="115"/>
      <c r="I35" s="116"/>
    </row>
    <row r="36" spans="2:9" ht="19.5" customHeight="1" x14ac:dyDescent="0.25">
      <c r="E36" s="31"/>
    </row>
    <row r="37" spans="2:9" ht="18.75" customHeight="1" x14ac:dyDescent="0.25">
      <c r="E37" s="31"/>
    </row>
    <row r="38" spans="2:9" ht="22.5" customHeight="1" x14ac:dyDescent="0.25">
      <c r="E38" s="31"/>
    </row>
    <row r="39" spans="2:9" ht="22.5" customHeight="1" x14ac:dyDescent="0.25">
      <c r="E39" s="31"/>
    </row>
    <row r="40" spans="2:9" ht="9" customHeight="1" x14ac:dyDescent="0.25">
      <c r="E40" s="31"/>
    </row>
    <row r="41" spans="2:9" ht="19.5" customHeight="1" x14ac:dyDescent="0.25"/>
    <row r="42" spans="2:9" ht="15" customHeight="1" x14ac:dyDescent="0.25"/>
    <row r="43" spans="2:9" ht="15" customHeight="1" x14ac:dyDescent="0.25"/>
    <row r="44" spans="2:9" ht="15" customHeight="1" x14ac:dyDescent="0.25"/>
    <row r="45" spans="2:9" ht="15" customHeight="1" x14ac:dyDescent="0.25"/>
    <row r="46" spans="2:9" ht="9" customHeight="1" x14ac:dyDescent="0.25"/>
    <row r="47" spans="2:9" ht="19.5" customHeight="1" x14ac:dyDescent="0.25"/>
    <row r="48" spans="2:9" ht="15" customHeight="1" x14ac:dyDescent="0.25"/>
    <row r="49" ht="15" customHeight="1" x14ac:dyDescent="0.25"/>
    <row r="51" ht="15" customHeight="1" x14ac:dyDescent="0.25"/>
    <row r="52" ht="8.65" customHeight="1" x14ac:dyDescent="0.25"/>
    <row r="53" ht="19.5" customHeight="1" x14ac:dyDescent="0.25"/>
    <row r="54" ht="15.75" customHeight="1" x14ac:dyDescent="0.25"/>
    <row r="55" ht="15.75" customHeight="1" x14ac:dyDescent="0.25"/>
    <row r="56" ht="15" customHeight="1" x14ac:dyDescent="0.25"/>
    <row r="57" ht="15" customHeight="1" x14ac:dyDescent="0.25"/>
    <row r="58" ht="8.25" customHeight="1" x14ac:dyDescent="0.25"/>
    <row r="59" ht="19.5" customHeight="1" x14ac:dyDescent="0.25"/>
    <row r="60" ht="17.25" customHeight="1" x14ac:dyDescent="0.25"/>
    <row r="61" ht="19.5" customHeight="1" x14ac:dyDescent="0.25"/>
    <row r="62" ht="16.5" customHeight="1" x14ac:dyDescent="0.25"/>
    <row r="63" ht="15" customHeight="1" x14ac:dyDescent="0.25"/>
    <row r="64" ht="8.25" customHeight="1" x14ac:dyDescent="0.25"/>
    <row r="65" ht="19.5" customHeight="1" x14ac:dyDescent="0.25"/>
    <row r="68" ht="8.25" customHeight="1" x14ac:dyDescent="0.25"/>
    <row r="69" ht="14.25" customHeight="1" x14ac:dyDescent="0.25"/>
    <row r="70" ht="41.25" customHeight="1" x14ac:dyDescent="0.25"/>
    <row r="71" ht="6.75" customHeight="1" x14ac:dyDescent="0.25"/>
    <row r="72" ht="14.25" customHeight="1" x14ac:dyDescent="0.25"/>
    <row r="73" ht="41.25" customHeight="1" x14ac:dyDescent="0.25"/>
  </sheetData>
  <mergeCells count="52">
    <mergeCell ref="B33:B34"/>
    <mergeCell ref="C34:D34"/>
    <mergeCell ref="C33:I33"/>
    <mergeCell ref="C35:I35"/>
    <mergeCell ref="B24:I24"/>
    <mergeCell ref="C25:I25"/>
    <mergeCell ref="B26:B27"/>
    <mergeCell ref="B28:B29"/>
    <mergeCell ref="B30:B31"/>
    <mergeCell ref="C26:E27"/>
    <mergeCell ref="C28:E29"/>
    <mergeCell ref="C30:E31"/>
    <mergeCell ref="G26:I26"/>
    <mergeCell ref="H27:I27"/>
    <mergeCell ref="H28:I28"/>
    <mergeCell ref="H29:I29"/>
    <mergeCell ref="B16:I16"/>
    <mergeCell ref="H18:I18"/>
    <mergeCell ref="H19:I19"/>
    <mergeCell ref="H20:I20"/>
    <mergeCell ref="H21:I21"/>
    <mergeCell ref="C20:D20"/>
    <mergeCell ref="C21:D21"/>
    <mergeCell ref="B17:I17"/>
    <mergeCell ref="H30:I30"/>
    <mergeCell ref="H31:I31"/>
    <mergeCell ref="C18:D18"/>
    <mergeCell ref="C19:D19"/>
    <mergeCell ref="B23:I23"/>
    <mergeCell ref="H22:I22"/>
    <mergeCell ref="C22:D22"/>
    <mergeCell ref="B1:I2"/>
    <mergeCell ref="B3:I3"/>
    <mergeCell ref="C4:E4"/>
    <mergeCell ref="G4:I4"/>
    <mergeCell ref="C5:E5"/>
    <mergeCell ref="C6:E6"/>
    <mergeCell ref="F5:F6"/>
    <mergeCell ref="G5:I6"/>
    <mergeCell ref="B7:I7"/>
    <mergeCell ref="G15:I15"/>
    <mergeCell ref="C12:E12"/>
    <mergeCell ref="C9:E9"/>
    <mergeCell ref="C10:E10"/>
    <mergeCell ref="C11:E11"/>
    <mergeCell ref="C13:E13"/>
    <mergeCell ref="B8:I8"/>
    <mergeCell ref="G10:I10"/>
    <mergeCell ref="C14:E14"/>
    <mergeCell ref="C15:E15"/>
    <mergeCell ref="G12:I12"/>
    <mergeCell ref="G14:I14"/>
  </mergeCells>
  <dataValidations disablePrompts="1" count="2">
    <dataValidation type="list" allowBlank="1" showInputMessage="1" showErrorMessage="1" sqref="P4:R5 G37:I37" xr:uid="{17CC8155-B9BB-4BE3-BD28-C4FF848EAB4D}">
      <formula1>"ja,nein"</formula1>
    </dataValidation>
    <dataValidation type="list" allowBlank="1" showInputMessage="1" showErrorMessage="1" sqref="B37 B4" xr:uid="{D8CC69A6-1F4C-4D1A-9387-A407993B3D5A}">
      <formula1>"Kunde,Neukunde"</formula1>
    </dataValidation>
  </dataValidations>
  <pageMargins left="0.70866141732283472" right="0.70866141732283472" top="0.78740157480314965" bottom="0.39370078740157483" header="0.31496062992125984" footer="0.31496062992125984"/>
  <pageSetup paperSize="9" scale="73" fitToHeight="0" orientation="portrait" r:id="rId1"/>
  <headerFooter>
    <oddHeader xml:space="preserve">&amp;R
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5709d9-971d-4fe8-8b2b-eee031e5aa9e">
      <Terms xmlns="http://schemas.microsoft.com/office/infopath/2007/PartnerControls"/>
    </lcf76f155ced4ddcb4097134ff3c332f>
    <TaxCatchAll xmlns="f0e88c73-6a2a-45a4-85c0-1cbb5d13dc6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07D819FF444654E902457D42ABEDF88" ma:contentTypeVersion="12" ma:contentTypeDescription="Ein neues Dokument erstellen." ma:contentTypeScope="" ma:versionID="61ddbe43ac337389dc143a7b182652fa">
  <xsd:schema xmlns:xsd="http://www.w3.org/2001/XMLSchema" xmlns:xs="http://www.w3.org/2001/XMLSchema" xmlns:p="http://schemas.microsoft.com/office/2006/metadata/properties" xmlns:ns2="7c5709d9-971d-4fe8-8b2b-eee031e5aa9e" xmlns:ns3="f0e88c73-6a2a-45a4-85c0-1cbb5d13dc66" targetNamespace="http://schemas.microsoft.com/office/2006/metadata/properties" ma:root="true" ma:fieldsID="448c8a882c089ed40c7a716f92bc9315" ns2:_="" ns3:_="">
    <xsd:import namespace="7c5709d9-971d-4fe8-8b2b-eee031e5aa9e"/>
    <xsd:import namespace="f0e88c73-6a2a-45a4-85c0-1cbb5d13dc66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5709d9-971d-4fe8-8b2b-eee031e5aa9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ildmarkierungen" ma:readOnly="false" ma:fieldId="{5cf76f15-5ced-4ddc-b409-7134ff3c332f}" ma:taxonomyMulti="true" ma:sspId="2cb76940-26f4-499e-9ef3-29f392f4ea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e88c73-6a2a-45a4-85c0-1cbb5d13dc66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b68c17b-d8f4-431e-ac76-dd4a110cbcab}" ma:internalName="TaxCatchAll" ma:showField="CatchAllData" ma:web="f0e88c73-6a2a-45a4-85c0-1cbb5d13dc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0AF283-C297-4A2E-AA60-1F593FA9FE96}">
  <ds:schemaRefs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7c5709d9-971d-4fe8-8b2b-eee031e5aa9e"/>
    <ds:schemaRef ds:uri="f0e88c73-6a2a-45a4-85c0-1cbb5d13dc66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99D77E7-7039-4E77-AC9D-1D88D5A68DAA}"/>
</file>

<file path=customXml/itemProps3.xml><?xml version="1.0" encoding="utf-8"?>
<ds:datastoreItem xmlns:ds="http://schemas.openxmlformats.org/officeDocument/2006/customXml" ds:itemID="{DBAC6CA9-04B2-4C20-A368-5BEAF2F802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Sabrina Tanner</dc:creator>
  <cp:keywords/>
  <dc:description/>
  <cp:lastModifiedBy>Peter Wiederkehr</cp:lastModifiedBy>
  <cp:revision/>
  <cp:lastPrinted>2025-04-01T15:34:56Z</cp:lastPrinted>
  <dcterms:created xsi:type="dcterms:W3CDTF">2024-04-09T07:28:45Z</dcterms:created>
  <dcterms:modified xsi:type="dcterms:W3CDTF">2026-02-17T12:29:45Z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0x010100107D819FF444654E902457D42ABEDF88</vt:lpwstr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