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gc21ch.sharepoint.com/sites/ArkadiumDataBase/Freigegebene Dokumente/General/1_ Rechnungen &amp; -sheets/Rechnungssheet/"/>
    </mc:Choice>
  </mc:AlternateContent>
  <xr:revisionPtr revIDLastSave="1220" documentId="8_{5D97DE81-F4E5-4D45-9F9C-E3999F0CC186}" xr6:coauthVersionLast="47" xr6:coauthVersionMax="47" xr10:uidLastSave="{6D10CAAA-A8B8-4B4D-B2AB-A6AA4C8DDA6E}"/>
  <bookViews>
    <workbookView xWindow="-110" yWindow="-110" windowWidth="22780" windowHeight="14660" xr2:uid="{6AEB6510-C3B2-406E-A2F9-954AF7739B25}"/>
  </bookViews>
  <sheets>
    <sheet name="Mandat mit Stage 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B35" i="2" s="1"/>
  <c r="B27" i="2"/>
  <c r="B28" i="2" s="1"/>
  <c r="B41" i="2"/>
  <c r="B42" i="2" s="1"/>
  <c r="B21" i="2"/>
  <c r="B20" i="2"/>
  <c r="E8" i="2"/>
  <c r="I8" i="2" s="1"/>
</calcChain>
</file>

<file path=xl/sharedStrings.xml><?xml version="1.0" encoding="utf-8"?>
<sst xmlns="http://schemas.openxmlformats.org/spreadsheetml/2006/main" count="102" uniqueCount="54">
  <si>
    <t>KUNDEN-INFORMATIONEN</t>
  </si>
  <si>
    <t>Kunde</t>
  </si>
  <si>
    <t>Ansprechpartner HR</t>
  </si>
  <si>
    <t>Ansprechpartner Linie</t>
  </si>
  <si>
    <t>Bemerkungen</t>
  </si>
  <si>
    <t>Summe</t>
  </si>
  <si>
    <t>Rechnungsdatum</t>
  </si>
  <si>
    <t>Bezahlbar bis</t>
  </si>
  <si>
    <t>Rechnungsbetrag</t>
  </si>
  <si>
    <t>Bezahlt am</t>
  </si>
  <si>
    <t>STAGE 2</t>
  </si>
  <si>
    <t>STAGE 3</t>
  </si>
  <si>
    <t>KANDIDATEN-INFORMATIONEN</t>
  </si>
  <si>
    <t>Referral</t>
  </si>
  <si>
    <t>Jahresgehalt TC</t>
  </si>
  <si>
    <t>BUCHHALTUNG</t>
  </si>
  <si>
    <t>Candidate Hunter</t>
  </si>
  <si>
    <t>Account Hunter</t>
  </si>
  <si>
    <t>Candidate Manager</t>
  </si>
  <si>
    <t>Account Manager</t>
  </si>
  <si>
    <r>
      <t>RECHNUNGSSHEET</t>
    </r>
    <r>
      <rPr>
        <b/>
        <sz val="11"/>
        <color rgb="FFBAA67A"/>
        <rFont val="Athelas"/>
      </rPr>
      <t xml:space="preserve"> MANDAT</t>
    </r>
    <r>
      <rPr>
        <sz val="11"/>
        <color rgb="FFBAA67A"/>
        <rFont val="Athelas"/>
      </rPr>
      <t xml:space="preserve"> </t>
    </r>
  </si>
  <si>
    <t>Kürzel</t>
  </si>
  <si>
    <t xml:space="preserve">Visum </t>
  </si>
  <si>
    <t>ns</t>
  </si>
  <si>
    <t>Lead</t>
  </si>
  <si>
    <t>ML</t>
  </si>
  <si>
    <t>BUHA</t>
  </si>
  <si>
    <t>ANGABEN AUS MANDATSOFFERTE</t>
  </si>
  <si>
    <t>Positionsbezeichnung</t>
  </si>
  <si>
    <t>Gehaltsrahmen TC</t>
  </si>
  <si>
    <t>Beginn Suchauftrag</t>
  </si>
  <si>
    <t>Refferal Betrag</t>
  </si>
  <si>
    <t>RECHNUNGSBETRAG</t>
  </si>
  <si>
    <t>Ansprechpartner Buchhaltung</t>
  </si>
  <si>
    <t xml:space="preserve">Betrag Total </t>
  </si>
  <si>
    <t>Betrag Total inkl. MwSt.</t>
  </si>
  <si>
    <t>MwSt. Total (8.1%)</t>
  </si>
  <si>
    <t>Ende Suchauftrag</t>
  </si>
  <si>
    <t xml:space="preserve">Vor- und Nachname </t>
  </si>
  <si>
    <t xml:space="preserve">Rechnungsnummer </t>
  </si>
  <si>
    <t>Beginn Garantie</t>
  </si>
  <si>
    <t xml:space="preserve">Ende Garantie </t>
  </si>
  <si>
    <t>STAGE 1</t>
  </si>
  <si>
    <t>Datum Erhalt RN</t>
  </si>
  <si>
    <t>SUCHSTRATEGIE, IDENTIFIKATION UND POOLING</t>
  </si>
  <si>
    <t>ANSPRACHE, SELEKTION, BRIEFING UND DOSSIER</t>
  </si>
  <si>
    <t>FN _________________</t>
  </si>
  <si>
    <t xml:space="preserve">VERTRAGSWESEN, ABSCHLUSS, OFF- UND ONBOARDING </t>
  </si>
  <si>
    <t>NAME DER DIENSTLEISTUNG</t>
  </si>
  <si>
    <t>STAGE 4 (Optionales)</t>
  </si>
  <si>
    <t>MwSt.</t>
  </si>
  <si>
    <t>FN2025.02.0901</t>
  </si>
  <si>
    <t>SP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</si>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</sst>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CHF&quot;\ * #,##0.00_ ;_ &quot;CHF&quot;\ * \-#,##0.00_ ;_ &quot;CHF&quot;\ * &quot;-&quot;??_ ;_ @_ "/>
    <numFmt numFmtId="164" formatCode="_ [$CHF-807]\ * #,##0.00_ ;_ [$CHF-807]\ * \-#,##0.00_ ;_ [$CHF-807]\ * &quot;-&quot;??_ ;_ @_ "/>
    <numFmt numFmtId="165" formatCode="[$-F800]dddd\,\ mmmm\ dd\,\ yyyy"/>
    <numFmt numFmtId="166" formatCode="[$-807]d/\ mmmm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BAA67A"/>
      <name val="Athelas"/>
    </font>
    <font>
      <b/>
      <sz val="11"/>
      <color rgb="FFBAA67A"/>
      <name val="Athelas"/>
    </font>
    <font>
      <b/>
      <sz val="7"/>
      <color theme="1"/>
      <name val="Avenir Light"/>
      <family val="2"/>
    </font>
    <font>
      <sz val="7"/>
      <color theme="1"/>
      <name val="Avenir Light"/>
      <family val="2"/>
    </font>
    <font>
      <sz val="8"/>
      <color rgb="FF1B3051"/>
      <name val="Athelas"/>
    </font>
    <font>
      <sz val="8"/>
      <color theme="1"/>
      <name val="Aptos Narrow"/>
      <family val="2"/>
      <scheme val="minor"/>
    </font>
    <font>
      <b/>
      <sz val="7"/>
      <name val="Avenir Light"/>
      <family val="2"/>
    </font>
    <font>
      <sz val="7"/>
      <name val="Avenir Light"/>
      <family val="2"/>
    </font>
    <font>
      <sz val="8"/>
      <color theme="0"/>
      <name val="Athelas"/>
    </font>
  </fonts>
  <fills count="9">
    <fill>
      <patternFill patternType="none"/>
    </fill>
    <fill>
      <patternFill patternType="gray125"/>
    </fill>
    <fill>
      <patternFill patternType="solid">
        <fgColor rgb="FF1B305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CEB5"/>
        <bgColor indexed="64"/>
      </patternFill>
    </fill>
    <fill>
      <patternFill patternType="solid">
        <fgColor rgb="FFBFAC83"/>
        <bgColor indexed="64"/>
      </patternFill>
    </fill>
    <fill>
      <patternFill patternType="solid">
        <fgColor rgb="FFBAA67A"/>
        <bgColor indexed="64"/>
      </patternFill>
    </fill>
    <fill>
      <patternFill patternType="solid">
        <fgColor rgb="FF9D8551"/>
        <bgColor indexed="64"/>
      </patternFill>
    </fill>
    <fill>
      <patternFill patternType="solid">
        <fgColor theme="0" tint="-0.499984740745262"/>
        <bgColor indexed="64"/>
      </patternFill>
    </fill>
  </fills>
  <borders count="4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5">
    <xf numFmtId="0" fontId="0" fillId="0" borderId="0" xfId="0"/>
    <xf numFmtId="0" fontId="4" fillId="6" borderId="12" xfId="0" applyFont="1" applyFill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165" fontId="4" fillId="0" borderId="15" xfId="0" applyNumberFormat="1" applyFont="1" applyBorder="1" applyAlignment="1">
      <alignment horizontal="center" vertical="center"/>
    </xf>
    <xf numFmtId="0" fontId="4" fillId="6" borderId="9" xfId="0" applyFont="1" applyFill="1" applyBorder="1" applyAlignment="1">
      <alignment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165" fontId="5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8" fillId="0" borderId="33" xfId="0" applyFont="1" applyBorder="1" applyAlignment="1">
      <alignment vertical="center" wrapText="1"/>
    </xf>
    <xf numFmtId="44" fontId="5" fillId="0" borderId="35" xfId="1" applyFont="1" applyBorder="1" applyAlignment="1">
      <alignment vertical="center"/>
    </xf>
    <xf numFmtId="165" fontId="5" fillId="0" borderId="14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4" fillId="0" borderId="39" xfId="0" applyFont="1" applyBorder="1" applyAlignment="1">
      <alignment vertical="center"/>
    </xf>
    <xf numFmtId="0" fontId="6" fillId="3" borderId="25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6" fillId="3" borderId="25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5" fillId="0" borderId="15" xfId="0" applyFont="1" applyBorder="1" applyAlignment="1">
      <alignment horizontal="left"/>
    </xf>
    <xf numFmtId="164" fontId="5" fillId="0" borderId="10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164" fontId="5" fillId="5" borderId="6" xfId="1" applyNumberFormat="1" applyFont="1" applyFill="1" applyBorder="1" applyAlignment="1">
      <alignment horizontal="center" vertical="center"/>
    </xf>
    <xf numFmtId="164" fontId="5" fillId="5" borderId="5" xfId="1" applyNumberFormat="1" applyFont="1" applyFill="1" applyBorder="1" applyAlignment="1">
      <alignment horizontal="center" vertical="center"/>
    </xf>
    <xf numFmtId="164" fontId="5" fillId="4" borderId="2" xfId="1" applyNumberFormat="1" applyFont="1" applyFill="1" applyBorder="1" applyAlignment="1">
      <alignment horizontal="center" vertical="center"/>
    </xf>
    <xf numFmtId="164" fontId="5" fillId="4" borderId="3" xfId="1" applyNumberFormat="1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left" vertical="center" wrapText="1"/>
    </xf>
    <xf numFmtId="0" fontId="10" fillId="8" borderId="19" xfId="0" applyFont="1" applyFill="1" applyBorder="1" applyAlignment="1">
      <alignment horizontal="left" vertical="center" wrapText="1"/>
    </xf>
    <xf numFmtId="0" fontId="10" fillId="8" borderId="20" xfId="0" applyFont="1" applyFill="1" applyBorder="1" applyAlignment="1">
      <alignment horizontal="left" vertical="center" wrapText="1"/>
    </xf>
    <xf numFmtId="14" fontId="5" fillId="0" borderId="15" xfId="0" applyNumberFormat="1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66" fontId="5" fillId="0" borderId="15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6" fontId="5" fillId="0" borderId="14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6" fillId="3" borderId="24" xfId="0" applyFont="1" applyFill="1" applyBorder="1" applyAlignment="1">
      <alignment horizontal="left" vertical="center" wrapText="1"/>
    </xf>
    <xf numFmtId="0" fontId="6" fillId="3" borderId="43" xfId="0" applyFont="1" applyFill="1" applyBorder="1" applyAlignment="1">
      <alignment horizontal="left" vertical="center" wrapText="1"/>
    </xf>
    <xf numFmtId="0" fontId="6" fillId="3" borderId="40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0" borderId="4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3" borderId="31" xfId="0" applyFont="1" applyFill="1" applyBorder="1" applyAlignment="1">
      <alignment horizontal="left" vertical="center" wrapText="1"/>
    </xf>
    <xf numFmtId="0" fontId="6" fillId="3" borderId="32" xfId="0" applyFont="1" applyFill="1" applyBorder="1" applyAlignment="1">
      <alignment horizontal="left" vertical="center" wrapText="1"/>
    </xf>
    <xf numFmtId="0" fontId="6" fillId="3" borderId="36" xfId="0" applyFont="1" applyFill="1" applyBorder="1" applyAlignment="1">
      <alignment horizontal="left" vertical="center" wrapText="1"/>
    </xf>
    <xf numFmtId="44" fontId="9" fillId="0" borderId="8" xfId="1" applyFont="1" applyBorder="1" applyAlignment="1">
      <alignment horizontal="center" vertical="center" wrapText="1"/>
    </xf>
    <xf numFmtId="44" fontId="9" fillId="0" borderId="35" xfId="1" applyFont="1" applyBorder="1" applyAlignment="1">
      <alignment horizontal="center" vertical="center" wrapText="1"/>
    </xf>
    <xf numFmtId="44" fontId="5" fillId="0" borderId="38" xfId="1" applyFont="1" applyBorder="1" applyAlignment="1">
      <alignment horizontal="center" vertical="center" wrapText="1"/>
    </xf>
    <xf numFmtId="44" fontId="5" fillId="0" borderId="35" xfId="1" applyFont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 vertical="center"/>
    </xf>
    <xf numFmtId="0" fontId="4" fillId="7" borderId="15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166" fontId="5" fillId="7" borderId="10" xfId="0" applyNumberFormat="1" applyFont="1" applyFill="1" applyBorder="1" applyAlignment="1">
      <alignment horizontal="center" vertical="center"/>
    </xf>
    <xf numFmtId="166" fontId="5" fillId="7" borderId="6" xfId="0" applyNumberFormat="1" applyFont="1" applyFill="1" applyBorder="1" applyAlignment="1">
      <alignment horizontal="center" vertical="center"/>
    </xf>
    <xf numFmtId="166" fontId="5" fillId="7" borderId="7" xfId="0" applyNumberFormat="1" applyFont="1" applyFill="1" applyBorder="1" applyAlignment="1">
      <alignment horizontal="center" vertical="center"/>
    </xf>
    <xf numFmtId="166" fontId="5" fillId="6" borderId="10" xfId="0" applyNumberFormat="1" applyFont="1" applyFill="1" applyBorder="1" applyAlignment="1">
      <alignment horizontal="center" vertical="center"/>
    </xf>
    <xf numFmtId="166" fontId="5" fillId="6" borderId="6" xfId="0" applyNumberFormat="1" applyFont="1" applyFill="1" applyBorder="1" applyAlignment="1">
      <alignment horizontal="center" vertical="center"/>
    </xf>
    <xf numFmtId="166" fontId="5" fillId="6" borderId="5" xfId="0" applyNumberFormat="1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165" fontId="5" fillId="0" borderId="21" xfId="0" applyNumberFormat="1" applyFont="1" applyBorder="1" applyAlignment="1">
      <alignment horizontal="center" vertical="center"/>
    </xf>
    <xf numFmtId="0" fontId="6" fillId="3" borderId="25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6" fontId="5" fillId="0" borderId="21" xfId="0" applyNumberFormat="1" applyFont="1" applyBorder="1" applyAlignment="1">
      <alignment horizontal="center" vertical="center"/>
    </xf>
    <xf numFmtId="166" fontId="5" fillId="0" borderId="22" xfId="0" applyNumberFormat="1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29608</xdr:colOff>
      <xdr:row>9</xdr:row>
      <xdr:rowOff>218453</xdr:rowOff>
    </xdr:from>
    <xdr:to>
      <xdr:col>3</xdr:col>
      <xdr:colOff>317608</xdr:colOff>
      <xdr:row>9</xdr:row>
      <xdr:rowOff>218453</xdr:rowOff>
    </xdr:to>
    <xdr:cxnSp macro="">
      <xdr:nvCxnSpPr>
        <xdr:cNvPr id="14" name="Gerader Verbinder 13">
          <a:extLst>
            <a:ext uri="{FF2B5EF4-FFF2-40B4-BE49-F238E27FC236}">
              <a16:creationId xmlns:a16="http://schemas.microsoft.com/office/drawing/2014/main" id="{245BA92A-0D50-4548-890C-6E666C0F807A}"/>
            </a:ext>
          </a:extLst>
        </xdr:cNvPr>
        <xdr:cNvCxnSpPr/>
      </xdr:nvCxnSpPr>
      <xdr:spPr>
        <a:xfrm flipV="1">
          <a:off x="29608" y="5331736"/>
          <a:ext cx="292762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29608</xdr:colOff>
      <xdr:row>9</xdr:row>
      <xdr:rowOff>218453</xdr:rowOff>
    </xdr:from>
    <xdr:to>
      <xdr:col>3</xdr:col>
      <xdr:colOff>317608</xdr:colOff>
      <xdr:row>9</xdr:row>
      <xdr:rowOff>218453</xdr:rowOff>
    </xdr:to>
    <xdr:cxnSp macro="">
      <xdr:nvCxnSpPr>
        <xdr:cNvPr id="15" name="Gerader Verbinder 14">
          <a:extLst>
            <a:ext uri="{FF2B5EF4-FFF2-40B4-BE49-F238E27FC236}">
              <a16:creationId xmlns:a16="http://schemas.microsoft.com/office/drawing/2014/main" id="{B56E8FE5-E8A2-4793-BE95-73BCD1BAB1AE}"/>
            </a:ext>
          </a:extLst>
        </xdr:cNvPr>
        <xdr:cNvCxnSpPr/>
      </xdr:nvCxnSpPr>
      <xdr:spPr>
        <a:xfrm flipV="1">
          <a:off x="29608" y="5331736"/>
          <a:ext cx="292762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29608</xdr:colOff>
      <xdr:row>9</xdr:row>
      <xdr:rowOff>218453</xdr:rowOff>
    </xdr:from>
    <xdr:to>
      <xdr:col>3</xdr:col>
      <xdr:colOff>317608</xdr:colOff>
      <xdr:row>9</xdr:row>
      <xdr:rowOff>218453</xdr:rowOff>
    </xdr:to>
    <xdr:cxnSp macro="">
      <xdr:nvCxnSpPr>
        <xdr:cNvPr id="16" name="Gerader Verbinder 15">
          <a:extLst>
            <a:ext uri="{FF2B5EF4-FFF2-40B4-BE49-F238E27FC236}">
              <a16:creationId xmlns:a16="http://schemas.microsoft.com/office/drawing/2014/main" id="{71CDEE90-D59B-48D8-881B-A8133EB5F907}"/>
            </a:ext>
          </a:extLst>
        </xdr:cNvPr>
        <xdr:cNvCxnSpPr/>
      </xdr:nvCxnSpPr>
      <xdr:spPr>
        <a:xfrm flipV="1">
          <a:off x="29608" y="5331736"/>
          <a:ext cx="292762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29608</xdr:colOff>
      <xdr:row>9</xdr:row>
      <xdr:rowOff>218453</xdr:rowOff>
    </xdr:from>
    <xdr:to>
      <xdr:col>3</xdr:col>
      <xdr:colOff>317608</xdr:colOff>
      <xdr:row>9</xdr:row>
      <xdr:rowOff>218453</xdr:rowOff>
    </xdr:to>
    <xdr:cxnSp macro="">
      <xdr:nvCxnSpPr>
        <xdr:cNvPr id="17" name="Gerader Verbinder 16">
          <a:extLst>
            <a:ext uri="{FF2B5EF4-FFF2-40B4-BE49-F238E27FC236}">
              <a16:creationId xmlns:a16="http://schemas.microsoft.com/office/drawing/2014/main" id="{0A9A7CBC-CFF5-4E4E-972C-58C2B9534CD7}"/>
            </a:ext>
          </a:extLst>
        </xdr:cNvPr>
        <xdr:cNvCxnSpPr/>
      </xdr:nvCxnSpPr>
      <xdr:spPr>
        <a:xfrm flipV="1">
          <a:off x="29608" y="5331736"/>
          <a:ext cx="292762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E079-A64C-491F-9FE6-BF1901BDDCC8}">
  <dimension ref="A1:I48"/>
  <sheetViews>
    <sheetView tabSelected="1" zoomScale="130" zoomScaleNormal="130" workbookViewId="0">
      <selection activeCell="L16" sqref="L16"/>
    </sheetView>
  </sheetViews>
  <sheetFormatPr baseColWidth="10" defaultRowHeight="14.5" x14ac:dyDescent="0.35"/>
  <cols>
    <col min="1" max="1" width="14.54296875" customWidth="1"/>
    <col min="2" max="2" width="9" customWidth="1"/>
    <col min="3" max="3" width="6.453125" customWidth="1"/>
    <col min="4" max="4" width="14.7265625" customWidth="1"/>
    <col min="5" max="5" width="3.1796875" customWidth="1"/>
    <col min="6" max="6" width="10.1796875" customWidth="1"/>
    <col min="7" max="7" width="5.54296875" customWidth="1"/>
    <col min="8" max="8" width="6" customWidth="1"/>
    <col min="9" max="9" width="14.26953125" customWidth="1"/>
  </cols>
  <sheetData>
    <row r="1" spans="1:9" ht="19.5" customHeight="1" thickBot="1" x14ac:dyDescent="0.4">
      <c r="A1" s="76" t="s">
        <v>20</v>
      </c>
      <c r="B1" s="77"/>
      <c r="C1" s="77"/>
      <c r="D1" s="77"/>
      <c r="E1" s="77"/>
      <c r="F1" s="77"/>
      <c r="G1" s="77"/>
      <c r="H1" s="77"/>
      <c r="I1" s="78"/>
    </row>
    <row r="2" spans="1:9" ht="12.75" customHeight="1" x14ac:dyDescent="0.35">
      <c r="A2" s="79" t="s">
        <v>0</v>
      </c>
      <c r="B2" s="80"/>
      <c r="C2" s="80"/>
      <c r="D2" s="80"/>
      <c r="E2" s="80"/>
      <c r="F2" s="80"/>
      <c r="G2" s="80"/>
      <c r="H2" s="80"/>
      <c r="I2" s="81"/>
    </row>
    <row r="3" spans="1:9" x14ac:dyDescent="0.35">
      <c r="A3" s="9" t="s">
        <v>1</v>
      </c>
      <c r="B3" s="89"/>
      <c r="C3" s="90"/>
      <c r="D3" s="4" t="s">
        <v>2</v>
      </c>
      <c r="E3" s="82"/>
      <c r="F3" s="82"/>
      <c r="G3" s="82"/>
      <c r="H3" s="82"/>
      <c r="I3" s="83"/>
    </row>
    <row r="4" spans="1:9" ht="15" customHeight="1" x14ac:dyDescent="0.35">
      <c r="A4" s="10" t="s">
        <v>3</v>
      </c>
      <c r="B4" s="89"/>
      <c r="C4" s="90"/>
      <c r="D4" s="91" t="s">
        <v>4</v>
      </c>
      <c r="E4" s="82"/>
      <c r="F4" s="82"/>
      <c r="G4" s="82"/>
      <c r="H4" s="82"/>
      <c r="I4" s="83"/>
    </row>
    <row r="5" spans="1:9" ht="20.65" customHeight="1" thickBot="1" x14ac:dyDescent="0.4">
      <c r="A5" s="11" t="s">
        <v>33</v>
      </c>
      <c r="B5" s="93"/>
      <c r="C5" s="94"/>
      <c r="D5" s="92"/>
      <c r="E5" s="84"/>
      <c r="F5" s="84"/>
      <c r="G5" s="84"/>
      <c r="H5" s="84"/>
      <c r="I5" s="85"/>
    </row>
    <row r="6" spans="1:9" ht="5.25" customHeight="1" thickBot="1" x14ac:dyDescent="0.4">
      <c r="A6" s="41"/>
      <c r="B6" s="41"/>
      <c r="C6" s="41"/>
      <c r="D6" s="41"/>
      <c r="E6" s="41"/>
      <c r="F6" s="41"/>
      <c r="G6" s="41"/>
      <c r="H6" s="41"/>
      <c r="I6" s="41"/>
    </row>
    <row r="7" spans="1:9" ht="12" customHeight="1" thickBot="1" x14ac:dyDescent="0.4">
      <c r="A7" s="95" t="s">
        <v>32</v>
      </c>
      <c r="B7" s="96"/>
      <c r="C7" s="96"/>
      <c r="D7" s="96"/>
      <c r="E7" s="96"/>
      <c r="F7" s="96"/>
      <c r="G7" s="96"/>
      <c r="H7" s="96"/>
      <c r="I7" s="97"/>
    </row>
    <row r="8" spans="1:9" ht="20.65" customHeight="1" thickBot="1" x14ac:dyDescent="0.4">
      <c r="A8" s="22" t="s">
        <v>34</v>
      </c>
      <c r="B8" s="100"/>
      <c r="C8" s="101"/>
      <c r="D8" s="25" t="s">
        <v>36</v>
      </c>
      <c r="E8" s="98">
        <f>B8*8.1%</f>
        <v>0</v>
      </c>
      <c r="F8" s="99"/>
      <c r="G8" s="87" t="s">
        <v>35</v>
      </c>
      <c r="H8" s="88"/>
      <c r="I8" s="26">
        <f>SUM(B8+E8)</f>
        <v>0</v>
      </c>
    </row>
    <row r="9" spans="1:9" ht="4.9000000000000004" customHeight="1" thickBot="1" x14ac:dyDescent="0.4">
      <c r="A9" s="86"/>
      <c r="B9" s="86"/>
      <c r="C9" s="86"/>
      <c r="D9" s="86"/>
      <c r="E9" s="86"/>
      <c r="F9" s="86"/>
      <c r="G9" s="86"/>
      <c r="H9" s="86"/>
      <c r="I9" s="86"/>
    </row>
    <row r="10" spans="1:9" ht="12" customHeight="1" x14ac:dyDescent="0.35">
      <c r="A10" s="79" t="s">
        <v>27</v>
      </c>
      <c r="B10" s="80"/>
      <c r="C10" s="81"/>
      <c r="D10" s="80" t="s">
        <v>12</v>
      </c>
      <c r="E10" s="80"/>
      <c r="F10" s="80"/>
      <c r="G10" s="80"/>
      <c r="H10" s="80"/>
      <c r="I10" s="81"/>
    </row>
    <row r="11" spans="1:9" x14ac:dyDescent="0.35">
      <c r="A11" s="2" t="s">
        <v>28</v>
      </c>
      <c r="B11" s="82"/>
      <c r="C11" s="83"/>
      <c r="D11" s="12" t="s">
        <v>38</v>
      </c>
      <c r="E11" s="82"/>
      <c r="F11" s="82"/>
      <c r="G11" s="82"/>
      <c r="H11" s="82"/>
      <c r="I11" s="83"/>
    </row>
    <row r="12" spans="1:9" x14ac:dyDescent="0.35">
      <c r="A12" s="3" t="s">
        <v>29</v>
      </c>
      <c r="B12" s="117"/>
      <c r="C12" s="118"/>
      <c r="D12" s="29" t="s">
        <v>14</v>
      </c>
      <c r="E12" s="82"/>
      <c r="F12" s="82"/>
      <c r="G12" s="82"/>
      <c r="H12" s="82"/>
      <c r="I12" s="83"/>
    </row>
    <row r="13" spans="1:9" x14ac:dyDescent="0.35">
      <c r="A13" s="3" t="s">
        <v>30</v>
      </c>
      <c r="B13" s="51"/>
      <c r="C13" s="121"/>
      <c r="D13" s="12" t="s">
        <v>40</v>
      </c>
      <c r="E13" s="123"/>
      <c r="F13" s="123"/>
      <c r="G13" s="123"/>
      <c r="H13" s="123"/>
      <c r="I13" s="124"/>
    </row>
    <row r="14" spans="1:9" ht="14.65" customHeight="1" thickBot="1" x14ac:dyDescent="0.4">
      <c r="A14" s="28" t="s">
        <v>37</v>
      </c>
      <c r="B14" s="61"/>
      <c r="C14" s="122"/>
      <c r="D14" s="12" t="s">
        <v>41</v>
      </c>
      <c r="E14" s="38"/>
      <c r="F14" s="39"/>
      <c r="G14" s="39"/>
      <c r="H14" s="39"/>
      <c r="I14" s="40"/>
    </row>
    <row r="15" spans="1:9" ht="4.9000000000000004" customHeight="1" thickBot="1" x14ac:dyDescent="0.4">
      <c r="A15" s="41"/>
      <c r="B15" s="41"/>
      <c r="C15" s="41"/>
      <c r="D15" s="41"/>
      <c r="E15" s="41"/>
      <c r="F15" s="41"/>
      <c r="G15" s="41"/>
      <c r="H15" s="41"/>
      <c r="I15" s="41"/>
    </row>
    <row r="16" spans="1:9" ht="13.5" customHeight="1" x14ac:dyDescent="0.35">
      <c r="A16" s="46" t="s">
        <v>44</v>
      </c>
      <c r="B16" s="47"/>
      <c r="C16" s="47"/>
      <c r="D16" s="47"/>
      <c r="E16" s="47"/>
      <c r="F16" s="47"/>
      <c r="G16" s="47"/>
      <c r="H16" s="47"/>
      <c r="I16" s="48"/>
    </row>
    <row r="17" spans="1:9" ht="12" customHeight="1" x14ac:dyDescent="0.35">
      <c r="A17" s="119" t="s">
        <v>42</v>
      </c>
      <c r="B17" s="120"/>
      <c r="C17" s="120"/>
      <c r="D17" s="31"/>
      <c r="E17" s="31"/>
      <c r="F17" s="32"/>
      <c r="G17" s="19" t="s">
        <v>24</v>
      </c>
      <c r="H17" s="20" t="s">
        <v>21</v>
      </c>
      <c r="I17" s="21" t="s">
        <v>22</v>
      </c>
    </row>
    <row r="18" spans="1:9" ht="18.75" customHeight="1" x14ac:dyDescent="0.45">
      <c r="A18" s="33" t="s">
        <v>39</v>
      </c>
      <c r="B18" s="37" t="s">
        <v>51</v>
      </c>
      <c r="C18" s="37"/>
      <c r="D18" s="24" t="s">
        <v>43</v>
      </c>
      <c r="E18" s="49">
        <v>45705</v>
      </c>
      <c r="F18" s="50"/>
      <c r="G18" s="56" t="s">
        <v>25</v>
      </c>
      <c r="H18" s="54" t="s">
        <v>53</v>
      </c>
      <c r="I18" s="52"/>
    </row>
    <row r="19" spans="1:9" ht="15" customHeight="1" x14ac:dyDescent="0.35">
      <c r="A19" s="5" t="s">
        <v>5</v>
      </c>
      <c r="B19" s="44">
        <v>16630</v>
      </c>
      <c r="C19" s="45"/>
      <c r="D19" s="7" t="s">
        <v>6</v>
      </c>
      <c r="E19" s="51">
        <v>45716</v>
      </c>
      <c r="F19" s="51"/>
      <c r="G19" s="57"/>
      <c r="H19" s="55"/>
      <c r="I19" s="53"/>
    </row>
    <row r="20" spans="1:9" ht="18.75" customHeight="1" x14ac:dyDescent="0.35">
      <c r="A20" s="2" t="s">
        <v>50</v>
      </c>
      <c r="B20" s="58">
        <f>B19*8.1%</f>
        <v>1347.03</v>
      </c>
      <c r="C20" s="59"/>
      <c r="D20" s="7" t="s">
        <v>7</v>
      </c>
      <c r="E20" s="51">
        <v>45730</v>
      </c>
      <c r="F20" s="51"/>
      <c r="G20" s="14" t="s">
        <v>25</v>
      </c>
      <c r="H20" s="23"/>
      <c r="I20" s="17"/>
    </row>
    <row r="21" spans="1:9" ht="18.399999999999999" customHeight="1" thickBot="1" x14ac:dyDescent="0.4">
      <c r="A21" s="6" t="s">
        <v>8</v>
      </c>
      <c r="B21" s="42">
        <f>SUM(B19:C20)</f>
        <v>17977.03</v>
      </c>
      <c r="C21" s="43"/>
      <c r="D21" s="8" t="s">
        <v>9</v>
      </c>
      <c r="E21" s="61"/>
      <c r="F21" s="61"/>
      <c r="G21" s="16" t="s">
        <v>26</v>
      </c>
      <c r="H21" s="27" t="s">
        <v>23</v>
      </c>
      <c r="I21" s="18"/>
    </row>
    <row r="22" spans="1:9" ht="5.25" customHeight="1" thickBot="1" x14ac:dyDescent="0.4">
      <c r="A22" s="60"/>
      <c r="B22" s="60"/>
      <c r="C22" s="60"/>
      <c r="D22" s="60"/>
      <c r="E22" s="60"/>
      <c r="F22" s="60"/>
      <c r="G22" s="60"/>
      <c r="H22" s="60"/>
      <c r="I22" s="60"/>
    </row>
    <row r="23" spans="1:9" ht="13.5" customHeight="1" x14ac:dyDescent="0.35">
      <c r="A23" s="46" t="s">
        <v>45</v>
      </c>
      <c r="B23" s="47"/>
      <c r="C23" s="47"/>
      <c r="D23" s="47"/>
      <c r="E23" s="47"/>
      <c r="F23" s="47"/>
      <c r="G23" s="47"/>
      <c r="H23" s="47"/>
      <c r="I23" s="48"/>
    </row>
    <row r="24" spans="1:9" ht="12.75" customHeight="1" x14ac:dyDescent="0.35">
      <c r="A24" s="34" t="s">
        <v>10</v>
      </c>
      <c r="B24" s="35"/>
      <c r="C24" s="35"/>
      <c r="D24" s="35"/>
      <c r="E24" s="35"/>
      <c r="F24" s="36"/>
      <c r="G24" s="19" t="s">
        <v>24</v>
      </c>
      <c r="H24" s="20" t="s">
        <v>21</v>
      </c>
      <c r="I24" s="21" t="s">
        <v>22</v>
      </c>
    </row>
    <row r="25" spans="1:9" ht="18.75" customHeight="1" x14ac:dyDescent="0.45">
      <c r="A25" s="33" t="s">
        <v>39</v>
      </c>
      <c r="B25" s="37"/>
      <c r="C25" s="37"/>
      <c r="D25" s="24" t="s">
        <v>43</v>
      </c>
      <c r="E25" s="51">
        <v>45705</v>
      </c>
      <c r="F25" s="51"/>
      <c r="G25" s="56" t="s">
        <v>25</v>
      </c>
      <c r="H25" s="54" t="s">
        <v>52</v>
      </c>
      <c r="I25" s="52"/>
    </row>
    <row r="26" spans="1:9" ht="15" customHeight="1" x14ac:dyDescent="0.35">
      <c r="A26" s="5" t="s">
        <v>5</v>
      </c>
      <c r="B26" s="44">
        <v>16630</v>
      </c>
      <c r="C26" s="45"/>
      <c r="D26" s="7" t="s">
        <v>6</v>
      </c>
      <c r="E26" s="51">
        <v>45716</v>
      </c>
      <c r="F26" s="51"/>
      <c r="G26" s="57"/>
      <c r="H26" s="55"/>
      <c r="I26" s="53"/>
    </row>
    <row r="27" spans="1:9" ht="18.75" customHeight="1" x14ac:dyDescent="0.35">
      <c r="A27" s="2" t="s">
        <v>50</v>
      </c>
      <c r="B27" s="58">
        <f>B26*8.1%</f>
        <v>1347.03</v>
      </c>
      <c r="C27" s="59"/>
      <c r="D27" s="7" t="s">
        <v>7</v>
      </c>
      <c r="E27" s="51">
        <v>45730</v>
      </c>
      <c r="F27" s="51"/>
      <c r="G27" s="14" t="s">
        <v>25</v>
      </c>
      <c r="H27" s="23" t="s">
        <v>52</v>
      </c>
      <c r="I27" s="17"/>
    </row>
    <row r="28" spans="1:9" ht="18.399999999999999" customHeight="1" thickBot="1" x14ac:dyDescent="0.4">
      <c r="A28" s="6" t="s">
        <v>8</v>
      </c>
      <c r="B28" s="42">
        <f>SUM(B26:C27)</f>
        <v>17977.03</v>
      </c>
      <c r="C28" s="43"/>
      <c r="D28" s="8" t="s">
        <v>9</v>
      </c>
      <c r="E28" s="61"/>
      <c r="F28" s="61"/>
      <c r="G28" s="16" t="s">
        <v>26</v>
      </c>
      <c r="H28" s="27" t="s">
        <v>23</v>
      </c>
      <c r="I28" s="18"/>
    </row>
    <row r="29" spans="1:9" ht="5.25" customHeight="1" thickBot="1" x14ac:dyDescent="0.4">
      <c r="A29" s="60"/>
      <c r="B29" s="60"/>
      <c r="C29" s="60"/>
      <c r="D29" s="60"/>
      <c r="E29" s="60"/>
      <c r="F29" s="60"/>
      <c r="G29" s="60"/>
      <c r="H29" s="60"/>
      <c r="I29" s="60"/>
    </row>
    <row r="30" spans="1:9" ht="12" customHeight="1" x14ac:dyDescent="0.35">
      <c r="A30" s="46" t="s">
        <v>47</v>
      </c>
      <c r="B30" s="47"/>
      <c r="C30" s="47"/>
      <c r="D30" s="47"/>
      <c r="E30" s="47"/>
      <c r="F30" s="47"/>
      <c r="G30" s="47"/>
      <c r="H30" s="47"/>
      <c r="I30" s="48"/>
    </row>
    <row r="31" spans="1:9" ht="12.75" customHeight="1" x14ac:dyDescent="0.35">
      <c r="A31" s="30" t="s">
        <v>11</v>
      </c>
      <c r="B31" s="31"/>
      <c r="C31" s="31"/>
      <c r="D31" s="31"/>
      <c r="E31" s="31"/>
      <c r="F31" s="32"/>
      <c r="G31" s="19" t="s">
        <v>24</v>
      </c>
      <c r="H31" s="20" t="s">
        <v>21</v>
      </c>
      <c r="I31" s="21" t="s">
        <v>22</v>
      </c>
    </row>
    <row r="32" spans="1:9" ht="21.75" customHeight="1" x14ac:dyDescent="0.45">
      <c r="A32" s="33" t="s">
        <v>39</v>
      </c>
      <c r="B32" s="37" t="s">
        <v>46</v>
      </c>
      <c r="C32" s="37"/>
      <c r="D32" s="24" t="s">
        <v>43</v>
      </c>
      <c r="E32" s="50"/>
      <c r="F32" s="50"/>
      <c r="G32" s="64" t="s">
        <v>25</v>
      </c>
      <c r="H32" s="66"/>
      <c r="I32" s="52"/>
    </row>
    <row r="33" spans="1:9" ht="18.75" customHeight="1" x14ac:dyDescent="0.35">
      <c r="A33" s="5" t="s">
        <v>5</v>
      </c>
      <c r="B33" s="44">
        <v>16630</v>
      </c>
      <c r="C33" s="45"/>
      <c r="D33" s="7" t="s">
        <v>6</v>
      </c>
      <c r="E33" s="51"/>
      <c r="F33" s="51"/>
      <c r="G33" s="65"/>
      <c r="H33" s="67"/>
      <c r="I33" s="53"/>
    </row>
    <row r="34" spans="1:9" ht="18.75" customHeight="1" x14ac:dyDescent="0.35">
      <c r="A34" s="2" t="s">
        <v>50</v>
      </c>
      <c r="B34" s="58">
        <f>B33*8.1%</f>
        <v>1347.03</v>
      </c>
      <c r="C34" s="59"/>
      <c r="D34" s="7" t="s">
        <v>7</v>
      </c>
      <c r="E34" s="51"/>
      <c r="F34" s="51"/>
      <c r="G34" s="14" t="s">
        <v>25</v>
      </c>
      <c r="H34" s="23"/>
      <c r="I34" s="17"/>
    </row>
    <row r="35" spans="1:9" ht="18.399999999999999" customHeight="1" thickBot="1" x14ac:dyDescent="0.4">
      <c r="A35" s="6" t="s">
        <v>8</v>
      </c>
      <c r="B35" s="42">
        <f>SUM(B33:C34)</f>
        <v>17977.03</v>
      </c>
      <c r="C35" s="43"/>
      <c r="D35" s="8" t="s">
        <v>9</v>
      </c>
      <c r="E35" s="62"/>
      <c r="F35" s="63"/>
      <c r="G35" s="16" t="s">
        <v>26</v>
      </c>
      <c r="H35" s="27" t="s">
        <v>23</v>
      </c>
      <c r="I35" s="18"/>
    </row>
    <row r="36" spans="1:9" ht="5.25" customHeight="1" thickBot="1" x14ac:dyDescent="0.4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2.75" customHeight="1" x14ac:dyDescent="0.35">
      <c r="A37" s="46" t="s">
        <v>48</v>
      </c>
      <c r="B37" s="47"/>
      <c r="C37" s="47"/>
      <c r="D37" s="47"/>
      <c r="E37" s="47"/>
      <c r="F37" s="47"/>
      <c r="G37" s="47"/>
      <c r="H37" s="47"/>
      <c r="I37" s="48"/>
    </row>
    <row r="38" spans="1:9" ht="12.75" customHeight="1" x14ac:dyDescent="0.35">
      <c r="A38" s="71" t="s">
        <v>49</v>
      </c>
      <c r="B38" s="72"/>
      <c r="C38" s="72"/>
      <c r="D38" s="72"/>
      <c r="E38" s="72"/>
      <c r="F38" s="73"/>
      <c r="G38" s="19" t="s">
        <v>24</v>
      </c>
      <c r="H38" s="20" t="s">
        <v>21</v>
      </c>
      <c r="I38" s="21" t="s">
        <v>22</v>
      </c>
    </row>
    <row r="39" spans="1:9" ht="18.75" customHeight="1" x14ac:dyDescent="0.45">
      <c r="A39" s="33" t="s">
        <v>39</v>
      </c>
      <c r="B39" s="37" t="s">
        <v>46</v>
      </c>
      <c r="C39" s="37"/>
      <c r="D39" s="24" t="s">
        <v>43</v>
      </c>
      <c r="E39" s="50"/>
      <c r="F39" s="50"/>
      <c r="G39" s="56" t="s">
        <v>25</v>
      </c>
      <c r="H39" s="54"/>
      <c r="I39" s="74"/>
    </row>
    <row r="40" spans="1:9" ht="15" customHeight="1" x14ac:dyDescent="0.35">
      <c r="A40" s="5" t="s">
        <v>5</v>
      </c>
      <c r="B40" s="44">
        <v>16630</v>
      </c>
      <c r="C40" s="45"/>
      <c r="D40" s="7" t="s">
        <v>6</v>
      </c>
      <c r="E40" s="51"/>
      <c r="F40" s="51"/>
      <c r="G40" s="57"/>
      <c r="H40" s="55"/>
      <c r="I40" s="75"/>
    </row>
    <row r="41" spans="1:9" ht="18.75" customHeight="1" x14ac:dyDescent="0.35">
      <c r="A41" s="2" t="s">
        <v>50</v>
      </c>
      <c r="B41" s="58">
        <f>B40*8.1%</f>
        <v>1347.03</v>
      </c>
      <c r="C41" s="59"/>
      <c r="D41" s="7" t="s">
        <v>7</v>
      </c>
      <c r="E41" s="51"/>
      <c r="F41" s="51"/>
      <c r="G41" s="14" t="s">
        <v>25</v>
      </c>
      <c r="H41" s="23"/>
      <c r="I41" s="17"/>
    </row>
    <row r="42" spans="1:9" ht="18.75" customHeight="1" thickBot="1" x14ac:dyDescent="0.4">
      <c r="A42" s="6" t="s">
        <v>8</v>
      </c>
      <c r="B42" s="42">
        <f>SUM(B40:C41)</f>
        <v>17977.03</v>
      </c>
      <c r="C42" s="43"/>
      <c r="D42" s="8" t="s">
        <v>9</v>
      </c>
      <c r="E42" s="61"/>
      <c r="F42" s="61"/>
      <c r="G42" s="16" t="s">
        <v>26</v>
      </c>
      <c r="H42" s="27" t="s">
        <v>23</v>
      </c>
      <c r="I42" s="18"/>
    </row>
    <row r="43" spans="1:9" ht="5.25" customHeight="1" thickBot="1" x14ac:dyDescent="0.4">
      <c r="A43" s="60"/>
      <c r="B43" s="60"/>
      <c r="C43" s="60"/>
      <c r="D43" s="60"/>
      <c r="E43" s="60"/>
      <c r="F43" s="60"/>
      <c r="G43" s="60"/>
      <c r="H43" s="60"/>
      <c r="I43" s="60"/>
    </row>
    <row r="44" spans="1:9" ht="13.5" customHeight="1" x14ac:dyDescent="0.35">
      <c r="A44" s="68" t="s">
        <v>15</v>
      </c>
      <c r="B44" s="69"/>
      <c r="C44" s="69"/>
      <c r="D44" s="69"/>
      <c r="E44" s="69"/>
      <c r="F44" s="69"/>
      <c r="G44" s="69"/>
      <c r="H44" s="69"/>
      <c r="I44" s="70"/>
    </row>
    <row r="45" spans="1:9" ht="15" customHeight="1" x14ac:dyDescent="0.35">
      <c r="A45" s="1" t="s">
        <v>16</v>
      </c>
      <c r="B45" s="116"/>
      <c r="C45" s="116"/>
      <c r="D45" s="116"/>
      <c r="E45" s="108" t="s">
        <v>17</v>
      </c>
      <c r="F45" s="108"/>
      <c r="G45" s="103"/>
      <c r="H45" s="103"/>
      <c r="I45" s="104"/>
    </row>
    <row r="46" spans="1:9" ht="15" customHeight="1" x14ac:dyDescent="0.35">
      <c r="A46" s="5" t="s">
        <v>18</v>
      </c>
      <c r="B46" s="102"/>
      <c r="C46" s="102"/>
      <c r="D46" s="102"/>
      <c r="E46" s="109" t="s">
        <v>19</v>
      </c>
      <c r="F46" s="109"/>
      <c r="G46" s="105"/>
      <c r="H46" s="105"/>
      <c r="I46" s="106"/>
    </row>
    <row r="47" spans="1:9" ht="15" customHeight="1" thickBot="1" x14ac:dyDescent="0.4">
      <c r="A47" s="15" t="s">
        <v>13</v>
      </c>
      <c r="B47" s="113"/>
      <c r="C47" s="114"/>
      <c r="D47" s="115"/>
      <c r="E47" s="107" t="s">
        <v>31</v>
      </c>
      <c r="F47" s="107"/>
      <c r="G47" s="110"/>
      <c r="H47" s="111"/>
      <c r="I47" s="112"/>
    </row>
    <row r="48" spans="1:9" x14ac:dyDescent="0.35">
      <c r="F48" s="13"/>
    </row>
  </sheetData>
  <mergeCells count="89">
    <mergeCell ref="A22:I22"/>
    <mergeCell ref="E20:F20"/>
    <mergeCell ref="E21:F21"/>
    <mergeCell ref="E25:F25"/>
    <mergeCell ref="G25:G26"/>
    <mergeCell ref="H25:H26"/>
    <mergeCell ref="I25:I26"/>
    <mergeCell ref="A23:I23"/>
    <mergeCell ref="B25:C25"/>
    <mergeCell ref="D10:I10"/>
    <mergeCell ref="A10:C10"/>
    <mergeCell ref="B11:C11"/>
    <mergeCell ref="B12:C12"/>
    <mergeCell ref="A17:C17"/>
    <mergeCell ref="B13:C13"/>
    <mergeCell ref="B14:C14"/>
    <mergeCell ref="E11:I11"/>
    <mergeCell ref="E12:I12"/>
    <mergeCell ref="E13:I13"/>
    <mergeCell ref="B46:D46"/>
    <mergeCell ref="G45:I45"/>
    <mergeCell ref="G46:I46"/>
    <mergeCell ref="E47:F47"/>
    <mergeCell ref="E45:F45"/>
    <mergeCell ref="E46:F46"/>
    <mergeCell ref="G47:I47"/>
    <mergeCell ref="B47:D47"/>
    <mergeCell ref="B45:D45"/>
    <mergeCell ref="A1:I1"/>
    <mergeCell ref="A2:I2"/>
    <mergeCell ref="E3:I3"/>
    <mergeCell ref="E4:I5"/>
    <mergeCell ref="A9:I9"/>
    <mergeCell ref="G8:H8"/>
    <mergeCell ref="A6:I6"/>
    <mergeCell ref="B3:C3"/>
    <mergeCell ref="B4:C4"/>
    <mergeCell ref="D4:D5"/>
    <mergeCell ref="B5:C5"/>
    <mergeCell ref="A7:I7"/>
    <mergeCell ref="E8:F8"/>
    <mergeCell ref="B8:C8"/>
    <mergeCell ref="A44:I44"/>
    <mergeCell ref="B34:C34"/>
    <mergeCell ref="E39:F39"/>
    <mergeCell ref="B42:C42"/>
    <mergeCell ref="B41:C41"/>
    <mergeCell ref="E40:F40"/>
    <mergeCell ref="E41:F41"/>
    <mergeCell ref="E42:F42"/>
    <mergeCell ref="A38:F38"/>
    <mergeCell ref="B39:C39"/>
    <mergeCell ref="G39:G40"/>
    <mergeCell ref="H39:H40"/>
    <mergeCell ref="I39:I40"/>
    <mergeCell ref="A43:I43"/>
    <mergeCell ref="A36:I36"/>
    <mergeCell ref="A29:I29"/>
    <mergeCell ref="E26:F26"/>
    <mergeCell ref="E27:F27"/>
    <mergeCell ref="E28:F28"/>
    <mergeCell ref="A37:I37"/>
    <mergeCell ref="B33:C33"/>
    <mergeCell ref="E35:F35"/>
    <mergeCell ref="E34:F34"/>
    <mergeCell ref="E33:F33"/>
    <mergeCell ref="A30:I30"/>
    <mergeCell ref="B32:C32"/>
    <mergeCell ref="G32:G33"/>
    <mergeCell ref="H32:H33"/>
    <mergeCell ref="I32:I33"/>
    <mergeCell ref="B27:C27"/>
    <mergeCell ref="B28:C28"/>
    <mergeCell ref="B18:C18"/>
    <mergeCell ref="E14:I14"/>
    <mergeCell ref="A15:I15"/>
    <mergeCell ref="B35:C35"/>
    <mergeCell ref="B40:C40"/>
    <mergeCell ref="B19:C19"/>
    <mergeCell ref="A16:I16"/>
    <mergeCell ref="E18:F18"/>
    <mergeCell ref="E19:F19"/>
    <mergeCell ref="I18:I19"/>
    <mergeCell ref="H18:H19"/>
    <mergeCell ref="G18:G19"/>
    <mergeCell ref="E32:F32"/>
    <mergeCell ref="B20:C20"/>
    <mergeCell ref="B21:C21"/>
    <mergeCell ref="B26:C26"/>
  </mergeCells>
  <dataValidations count="1">
    <dataValidation type="list" allowBlank="1" showInputMessage="1" showErrorMessage="1" sqref="A3" xr:uid="{638A1840-DD68-4ADE-AC95-93863A6DAFF6}">
      <formula1>"Kunde,Neukunde"</formula1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e88c73-6a2a-45a4-85c0-1cbb5d13dc66" xsi:nil="true"/>
    <lcf76f155ced4ddcb4097134ff3c332f xmlns="7c5709d9-971d-4fe8-8b2b-eee031e5aa9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07D819FF444654E902457D42ABEDF88" ma:contentTypeVersion="12" ma:contentTypeDescription="Ein neues Dokument erstellen." ma:contentTypeScope="" ma:versionID="61ddbe43ac337389dc143a7b182652fa">
  <xsd:schema xmlns:xsd="http://www.w3.org/2001/XMLSchema" xmlns:xs="http://www.w3.org/2001/XMLSchema" xmlns:p="http://schemas.microsoft.com/office/2006/metadata/properties" xmlns:ns2="7c5709d9-971d-4fe8-8b2b-eee031e5aa9e" xmlns:ns3="f0e88c73-6a2a-45a4-85c0-1cbb5d13dc66" targetNamespace="http://schemas.microsoft.com/office/2006/metadata/properties" ma:root="true" ma:fieldsID="448c8a882c089ed40c7a716f92bc9315" ns2:_="" ns3:_="">
    <xsd:import namespace="7c5709d9-971d-4fe8-8b2b-eee031e5aa9e"/>
    <xsd:import namespace="f0e88c73-6a2a-45a4-85c0-1cbb5d13dc6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709d9-971d-4fe8-8b2b-eee031e5aa9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2cb76940-26f4-499e-9ef3-29f392f4e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e88c73-6a2a-45a4-85c0-1cbb5d13dc6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b68c17b-d8f4-431e-ac76-dd4a110cbcab}" ma:internalName="TaxCatchAll" ma:showField="CatchAllData" ma:web="f0e88c73-6a2a-45a4-85c0-1cbb5d13d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0DC9A3-D62F-4519-85DF-AFEE3950F4D2}">
  <ds:schemaRefs>
    <ds:schemaRef ds:uri="http://schemas.microsoft.com/office/2006/metadata/properties"/>
    <ds:schemaRef ds:uri="http://schemas.microsoft.com/office/infopath/2007/PartnerControls"/>
    <ds:schemaRef ds:uri="5a3fb16f-0337-497c-9113-719832018a12"/>
    <ds:schemaRef ds:uri="bf119660-1a39-4498-8cb1-4ee1e4e7519c"/>
    <ds:schemaRef ds:uri="b40e44bb-6c6c-402b-bb65-5ebe920531f5"/>
    <ds:schemaRef ds:uri="b1f1f94d-82f1-44bf-bf4a-587ea86b325b"/>
    <ds:schemaRef ds:uri="f0e88c73-6a2a-45a4-85c0-1cbb5d13dc66"/>
    <ds:schemaRef ds:uri="7c5709d9-971d-4fe8-8b2b-eee031e5aa9e"/>
  </ds:schemaRefs>
</ds:datastoreItem>
</file>

<file path=customXml/itemProps2.xml><?xml version="1.0" encoding="utf-8"?>
<ds:datastoreItem xmlns:ds="http://schemas.openxmlformats.org/officeDocument/2006/customXml" ds:itemID="{58C7EB19-ED61-40A6-BB77-D59461432048}"/>
</file>

<file path=customXml/itemProps3.xml><?xml version="1.0" encoding="utf-8"?>
<ds:datastoreItem xmlns:ds="http://schemas.openxmlformats.org/officeDocument/2006/customXml" ds:itemID="{7F2CA8A9-F9C4-4CE3-95B9-B51BE1973D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Mandat mit Stage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Tanner</dc:creator>
  <cp:lastModifiedBy>Peter Wiederkehr</cp:lastModifiedBy>
  <cp:lastPrinted>2024-09-20T12:15:25Z</cp:lastPrinted>
  <dcterms:created xsi:type="dcterms:W3CDTF">2024-08-29T12:45:06Z</dcterms:created>
  <dcterms:modified xsi:type="dcterms:W3CDTF">2025-06-02T15:39:35Z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0x010100107D819FF444654E902457D42ABEDF88</vt:lpwstr>
  </property>
  <property fmtid="{D5CDD505-2E9C-101B-9397-08002B2CF9AE}" pid="3" name="MediaServiceImageTags">
    <vt:lpwstr/>
  </property>
</Properties>
</file>